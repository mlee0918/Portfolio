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ee9\Desktop\BUS 340\SQL\week 11\"/>
    </mc:Choice>
  </mc:AlternateContent>
  <xr:revisionPtr revIDLastSave="0" documentId="13_ncr:1_{F48F9E1D-D3AE-436E-8046-01E14219D05F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HIV" sheetId="2" r:id="rId1"/>
    <sheet name="Pop" sheetId="3" r:id="rId2"/>
    <sheet name="PrEP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2" i="1" l="1"/>
  <c r="B42" i="1"/>
  <c r="C42" i="1"/>
  <c r="D42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A45" i="1"/>
  <c r="B45" i="1"/>
  <c r="C45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A46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A47" i="1"/>
  <c r="B47" i="1"/>
  <c r="C47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A48" i="1"/>
  <c r="B48" i="1"/>
  <c r="C48" i="1"/>
  <c r="D48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B41" i="1"/>
  <c r="C41" i="1"/>
  <c r="D41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A41" i="1"/>
  <c r="A54" i="3"/>
  <c r="B54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R54" i="3"/>
  <c r="S54" i="3"/>
  <c r="T54" i="3"/>
  <c r="U54" i="3"/>
  <c r="A41" i="3"/>
  <c r="B41" i="3"/>
  <c r="C41" i="3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A42" i="3"/>
  <c r="B42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A43" i="3"/>
  <c r="B43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A44" i="3"/>
  <c r="B44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A45" i="3"/>
  <c r="B45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A46" i="3"/>
  <c r="B46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A47" i="3"/>
  <c r="B47" i="3"/>
  <c r="C47" i="3"/>
  <c r="D47" i="3"/>
  <c r="E47" i="3"/>
  <c r="F47" i="3"/>
  <c r="G47" i="3"/>
  <c r="H47" i="3"/>
  <c r="I47" i="3"/>
  <c r="J47" i="3"/>
  <c r="K47" i="3"/>
  <c r="L47" i="3"/>
  <c r="M47" i="3"/>
  <c r="N47" i="3"/>
  <c r="O47" i="3"/>
  <c r="P47" i="3"/>
  <c r="Q47" i="3"/>
  <c r="R47" i="3"/>
  <c r="S47" i="3"/>
  <c r="T47" i="3"/>
  <c r="U47" i="3"/>
  <c r="A48" i="3"/>
  <c r="B48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A49" i="3"/>
  <c r="B49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R49" i="3"/>
  <c r="S49" i="3"/>
  <c r="T49" i="3"/>
  <c r="U49" i="3"/>
  <c r="A50" i="3"/>
  <c r="B50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R50" i="3"/>
  <c r="S50" i="3"/>
  <c r="T50" i="3"/>
  <c r="U50" i="3"/>
  <c r="A51" i="3"/>
  <c r="B51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R51" i="3"/>
  <c r="S51" i="3"/>
  <c r="T51" i="3"/>
  <c r="U51" i="3"/>
  <c r="A52" i="3"/>
  <c r="B52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R52" i="3"/>
  <c r="S52" i="3"/>
  <c r="T52" i="3"/>
  <c r="U52" i="3"/>
  <c r="A53" i="3"/>
  <c r="B53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R53" i="3"/>
  <c r="S53" i="3"/>
  <c r="T53" i="3"/>
  <c r="U53" i="3"/>
  <c r="B40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A40" i="3"/>
  <c r="A39" i="2"/>
  <c r="B39" i="2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A40" i="2"/>
  <c r="B40" i="2"/>
  <c r="C40" i="2"/>
  <c r="D40" i="2"/>
  <c r="E40" i="2"/>
  <c r="F40" i="2"/>
  <c r="G40" i="2"/>
  <c r="H40" i="2"/>
  <c r="I40" i="2"/>
  <c r="J40" i="2"/>
  <c r="K40" i="2"/>
  <c r="L40" i="2"/>
  <c r="M40" i="2"/>
  <c r="N40" i="2"/>
  <c r="O40" i="2"/>
  <c r="P40" i="2"/>
  <c r="Q40" i="2"/>
  <c r="R40" i="2"/>
  <c r="S40" i="2"/>
  <c r="T40" i="2"/>
  <c r="U40" i="2"/>
  <c r="A41" i="2"/>
  <c r="B41" i="2"/>
  <c r="C41" i="2"/>
  <c r="D41" i="2"/>
  <c r="E41" i="2"/>
  <c r="F41" i="2"/>
  <c r="G41" i="2"/>
  <c r="H41" i="2"/>
  <c r="I41" i="2"/>
  <c r="J41" i="2"/>
  <c r="K41" i="2"/>
  <c r="L41" i="2"/>
  <c r="M41" i="2"/>
  <c r="N41" i="2"/>
  <c r="O41" i="2"/>
  <c r="P41" i="2"/>
  <c r="Q41" i="2"/>
  <c r="R41" i="2"/>
  <c r="S41" i="2"/>
  <c r="T41" i="2"/>
  <c r="U41" i="2"/>
  <c r="A42" i="2"/>
  <c r="B42" i="2"/>
  <c r="C42" i="2"/>
  <c r="D42" i="2"/>
  <c r="E42" i="2"/>
  <c r="F42" i="2"/>
  <c r="G42" i="2"/>
  <c r="H42" i="2"/>
  <c r="I42" i="2"/>
  <c r="J42" i="2"/>
  <c r="K42" i="2"/>
  <c r="L42" i="2"/>
  <c r="M42" i="2"/>
  <c r="N42" i="2"/>
  <c r="O42" i="2"/>
  <c r="P42" i="2"/>
  <c r="Q42" i="2"/>
  <c r="R42" i="2"/>
  <c r="S42" i="2"/>
  <c r="T42" i="2"/>
  <c r="U42" i="2"/>
  <c r="A43" i="2"/>
  <c r="B43" i="2"/>
  <c r="C43" i="2"/>
  <c r="D43" i="2"/>
  <c r="E43" i="2"/>
  <c r="F43" i="2"/>
  <c r="G43" i="2"/>
  <c r="H43" i="2"/>
  <c r="I43" i="2"/>
  <c r="J43" i="2"/>
  <c r="K43" i="2"/>
  <c r="L43" i="2"/>
  <c r="M43" i="2"/>
  <c r="N43" i="2"/>
  <c r="O43" i="2"/>
  <c r="P43" i="2"/>
  <c r="Q43" i="2"/>
  <c r="R43" i="2"/>
  <c r="S43" i="2"/>
  <c r="T43" i="2"/>
  <c r="U43" i="2"/>
  <c r="A44" i="2"/>
  <c r="B44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Q44" i="2"/>
  <c r="R44" i="2"/>
  <c r="S44" i="2"/>
  <c r="T44" i="2"/>
  <c r="U44" i="2"/>
  <c r="A45" i="2"/>
  <c r="B45" i="2"/>
  <c r="C45" i="2"/>
  <c r="D45" i="2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A46" i="2"/>
  <c r="B46" i="2"/>
  <c r="C46" i="2"/>
  <c r="D46" i="2"/>
  <c r="E46" i="2"/>
  <c r="F46" i="2"/>
  <c r="G46" i="2"/>
  <c r="H46" i="2"/>
  <c r="I46" i="2"/>
  <c r="J46" i="2"/>
  <c r="K46" i="2"/>
  <c r="L46" i="2"/>
  <c r="M46" i="2"/>
  <c r="N46" i="2"/>
  <c r="O46" i="2"/>
  <c r="P46" i="2"/>
  <c r="Q46" i="2"/>
  <c r="R46" i="2"/>
  <c r="S46" i="2"/>
  <c r="T46" i="2"/>
  <c r="U46" i="2"/>
  <c r="A47" i="2"/>
  <c r="B47" i="2"/>
  <c r="C47" i="2"/>
  <c r="D47" i="2"/>
  <c r="E47" i="2"/>
  <c r="F47" i="2"/>
  <c r="G47" i="2"/>
  <c r="H47" i="2"/>
  <c r="I47" i="2"/>
  <c r="J47" i="2"/>
  <c r="K47" i="2"/>
  <c r="L47" i="2"/>
  <c r="M47" i="2"/>
  <c r="N47" i="2"/>
  <c r="O47" i="2"/>
  <c r="P47" i="2"/>
  <c r="Q47" i="2"/>
  <c r="R47" i="2"/>
  <c r="S47" i="2"/>
  <c r="T47" i="2"/>
  <c r="U47" i="2"/>
  <c r="A48" i="2"/>
  <c r="B48" i="2"/>
  <c r="C48" i="2"/>
  <c r="D48" i="2"/>
  <c r="E48" i="2"/>
  <c r="F48" i="2"/>
  <c r="G48" i="2"/>
  <c r="H48" i="2"/>
  <c r="I48" i="2"/>
  <c r="J48" i="2"/>
  <c r="K48" i="2"/>
  <c r="L48" i="2"/>
  <c r="M48" i="2"/>
  <c r="N48" i="2"/>
  <c r="O48" i="2"/>
  <c r="P48" i="2"/>
  <c r="Q48" i="2"/>
  <c r="R48" i="2"/>
  <c r="S48" i="2"/>
  <c r="T48" i="2"/>
  <c r="U48" i="2"/>
  <c r="A49" i="2"/>
  <c r="B49" i="2"/>
  <c r="C49" i="2"/>
  <c r="D49" i="2"/>
  <c r="E49" i="2"/>
  <c r="F49" i="2"/>
  <c r="G49" i="2"/>
  <c r="H49" i="2"/>
  <c r="I49" i="2"/>
  <c r="J49" i="2"/>
  <c r="K49" i="2"/>
  <c r="L49" i="2"/>
  <c r="M49" i="2"/>
  <c r="N49" i="2"/>
  <c r="O49" i="2"/>
  <c r="P49" i="2"/>
  <c r="Q49" i="2"/>
  <c r="R49" i="2"/>
  <c r="S49" i="2"/>
  <c r="T49" i="2"/>
  <c r="U49" i="2"/>
  <c r="A50" i="2"/>
  <c r="B50" i="2"/>
  <c r="C50" i="2"/>
  <c r="D50" i="2"/>
  <c r="E50" i="2"/>
  <c r="F50" i="2"/>
  <c r="G50" i="2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A51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O51" i="2"/>
  <c r="P51" i="2"/>
  <c r="Q51" i="2"/>
  <c r="R51" i="2"/>
  <c r="S51" i="2"/>
  <c r="T51" i="2"/>
  <c r="U51" i="2"/>
  <c r="B38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U38" i="2"/>
  <c r="A38" i="2"/>
</calcChain>
</file>

<file path=xl/sharedStrings.xml><?xml version="1.0" encoding="utf-8"?>
<sst xmlns="http://schemas.openxmlformats.org/spreadsheetml/2006/main" count="278" uniqueCount="80">
  <si>
    <t>Title:</t>
  </si>
  <si>
    <t>SubTitle:</t>
  </si>
  <si>
    <t>Counties within State - Age: All Ages - Gender: All Genders - Race: All Races</t>
  </si>
  <si>
    <t>Time:</t>
  </si>
  <si>
    <t>Unit of Measure:</t>
  </si>
  <si>
    <t>#</t>
  </si>
  <si>
    <t>Citation:</t>
  </si>
  <si>
    <t>ColumnCount:</t>
  </si>
  <si>
    <t>RowCount:</t>
  </si>
  <si>
    <t/>
  </si>
  <si>
    <t>Publisher:</t>
  </si>
  <si>
    <t>Copyright:</t>
  </si>
  <si>
    <t>Atlantic</t>
  </si>
  <si>
    <t>Bergen</t>
  </si>
  <si>
    <t>Burlington</t>
  </si>
  <si>
    <t>Camden</t>
  </si>
  <si>
    <t>Cape May</t>
  </si>
  <si>
    <t>Cumberland</t>
  </si>
  <si>
    <t>Essex</t>
  </si>
  <si>
    <t>Gloucester</t>
  </si>
  <si>
    <t>Hudson</t>
  </si>
  <si>
    <t>Hunterdon</t>
  </si>
  <si>
    <t>Mercer</t>
  </si>
  <si>
    <t>Middlesex</t>
  </si>
  <si>
    <t>Monmouth</t>
  </si>
  <si>
    <t>Morris</t>
  </si>
  <si>
    <t>Ocean</t>
  </si>
  <si>
    <t>Passaic</t>
  </si>
  <si>
    <t>Salem</t>
  </si>
  <si>
    <t>Somerset</t>
  </si>
  <si>
    <t>Sussex</t>
  </si>
  <si>
    <t>Union</t>
  </si>
  <si>
    <t>Warren</t>
  </si>
  <si>
    <t>Year</t>
  </si>
  <si>
    <t>"AidsVu.org"</t>
  </si>
  <si>
    <t>PrEP User Estimates  from AidsVu.org</t>
  </si>
  <si>
    <t>2012 - 2022</t>
  </si>
  <si>
    <t>AidsVu.org. PrEP User Estimates  | Atlantic, Bergen, Burlington, Camden, Cape May, Cumberland, Essex, Gloucester, Hudson, Hunterdon, Mercer, Middlesex, Monmouth, Morris, Ocean, Passaic, Salem, Somerset, Sussex, Union, Warren | All Ages | All Genders | All Races, 2012 - 2022. AidsVu.org</t>
  </si>
  <si>
    <t>"The data contained in AidsVu.org is publicly available."</t>
  </si>
  <si>
    <t>"The data contained in Sage Data is made available via license agreement with subscribing organizations. Your organization's license may vary from this version."</t>
  </si>
  <si>
    <t>"Centers for Disease Control and Prevention "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</si>
  <si>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</si>
  <si>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</si>
  <si>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</si>
  <si>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</si>
  <si>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</si>
  <si>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</si>
  <si>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</si>
  <si>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</si>
  <si>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</si>
  <si>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</si>
  <si>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</si>
  <si>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</si>
  <si>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</si>
  <si>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</si>
  <si>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Centers for Disease Control and Prevention  (2023-10-30). HIV/AIDS Surveillance Data: HIV Diagnoses | Atlantic, Bergen, Burlington, Camden, Cape May, Cumberland, Essex, Gloucester, Hudson, Hunterdon, Mercer, Middlesex, Monmouth, Morris, Ocean, Passaic, Salem, Somerset, Sussex, Union, Warren | Number of Cases, 2008 - 2021. Sage Data. Sage Publishing Ltd. (Dataset). Dataset-ID:  005-053-005 doi:https://doi.org/10.6068/DP18B86AD259A39</t>
  </si>
  <si>
    <t>2008 - 2021</t>
  </si>
  <si>
    <t>Counties within State - Indicator: Number of Cases</t>
  </si>
  <si>
    <t>HIV Diagnoses from the HIV/AIDS Surveillance Data Database</t>
  </si>
  <si>
    <t>"United States Census Bureau"</t>
  </si>
  <si>
    <t>2022</t>
  </si>
  <si>
    <t>United States Census Bureau (2023-09-11). Population Estimates - Detail (1990 - Current): Population Estimates  | Atlantic, Bergen, Burlington, Camden, Cape May, Cumberland, Essex, Gloucester, Hudson, Hunterdon, Mercer, Middlesex, Monmouth, Morris, Ocean, Passaic, Salem, Somerset, Sussex, Union, Warren | All Ages | All Genders | All Races, 2008 - 2022. Sage Data. Sage Publishing Ltd. (Dataset). Dataset-ID:  001-001-001 doi:https://doi.org/10.6068/DP18B874C11F045</t>
  </si>
  <si>
    <t>2008 - 2022</t>
  </si>
  <si>
    <t>Population Estimates  from the Population Estimates - Detail (1990 - Current) Database</t>
  </si>
  <si>
    <t>DROP TABLE IF EXISTS HIV;</t>
  </si>
  <si>
    <t>CREATE TABLE HIV (</t>
  </si>
  <si>
    <t>YEAR INTEGER,</t>
  </si>
  <si>
    <t>PRIMARY KEY (YEAR, COUNTY)</t>
  </si>
  <si>
    <t>);</t>
  </si>
  <si>
    <t>COUNTY VARCHAR(20),</t>
  </si>
  <si>
    <t>INSERT INTO HIV VALUES</t>
  </si>
  <si>
    <t>DIAGNOSES INTEGER,</t>
  </si>
  <si>
    <t>POPULATION INTEGER,</t>
  </si>
  <si>
    <t>DROP TABLE IF EXISTS POP;</t>
  </si>
  <si>
    <t>CREATE TABLE POP (</t>
  </si>
  <si>
    <t>INSERT INTO POP VALUES</t>
  </si>
  <si>
    <t>DROP TABLE IF EXISTS PrEP;</t>
  </si>
  <si>
    <t>CREATE TABLE PrEP (</t>
  </si>
  <si>
    <t>INSERT INTO PrEP VALUES</t>
  </si>
  <si>
    <t>USERS  INTEGER,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</si>
</sst>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9C0006"/>
      <name val="Calibri"/>
      <family val="2"/>
      <scheme val="minor"/>
    </font>
    <font>
      <sz val="14"/>
      <color rgb="FF9C5700"/>
      <name val="Calibri"/>
      <family val="2"/>
      <scheme val="minor"/>
    </font>
    <font>
      <sz val="14"/>
      <color rgb="FF3F3F76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FA7D00"/>
      <name val="Calibri"/>
      <family val="2"/>
      <scheme val="minor"/>
    </font>
    <font>
      <sz val="14"/>
      <color rgb="FFFA7D0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4"/>
      <color rgb="FF7F7F7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ABE3-2DA5-9843-84E2-40C1CE90E742}">
  <dimension ref="A1:V51"/>
  <sheetViews>
    <sheetView topLeftCell="A23" zoomScale="72" zoomScaleNormal="70" workbookViewId="0">
      <selection activeCell="A30" sqref="A30:U51"/>
    </sheetView>
  </sheetViews>
  <sheetFormatPr defaultColWidth="8.75" defaultRowHeight="18" x14ac:dyDescent="0.35"/>
  <cols>
    <col min="21" max="21" width="8.75" customWidth="1"/>
  </cols>
  <sheetData>
    <row r="1" spans="1:22" x14ac:dyDescent="0.35">
      <c r="A1" t="s">
        <v>0</v>
      </c>
      <c r="B1" t="s">
        <v>58</v>
      </c>
    </row>
    <row r="2" spans="1:22" x14ac:dyDescent="0.35">
      <c r="A2" t="s">
        <v>1</v>
      </c>
      <c r="B2" t="s">
        <v>57</v>
      </c>
    </row>
    <row r="3" spans="1:22" x14ac:dyDescent="0.35">
      <c r="A3" t="s">
        <v>3</v>
      </c>
      <c r="B3" t="s">
        <v>56</v>
      </c>
    </row>
    <row r="4" spans="1:22" x14ac:dyDescent="0.35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</row>
    <row r="5" spans="1:22" x14ac:dyDescent="0.35">
      <c r="A5" t="s">
        <v>6</v>
      </c>
      <c r="B5" t="s">
        <v>55</v>
      </c>
    </row>
    <row r="6" spans="1:22" x14ac:dyDescent="0.35">
      <c r="A6" t="s">
        <v>7</v>
      </c>
      <c r="B6">
        <v>22</v>
      </c>
    </row>
    <row r="7" spans="1:22" x14ac:dyDescent="0.35">
      <c r="A7" t="s">
        <v>8</v>
      </c>
      <c r="B7">
        <v>14</v>
      </c>
    </row>
    <row r="8" spans="1:22" x14ac:dyDescent="0.35">
      <c r="A8" t="s">
        <v>9</v>
      </c>
    </row>
    <row r="9" spans="1:22" x14ac:dyDescent="0.35">
      <c r="A9" t="s">
        <v>33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  <c r="V9" t="s">
        <v>32</v>
      </c>
    </row>
    <row r="10" spans="1:22" x14ac:dyDescent="0.35">
      <c r="A10" t="s">
        <v>54</v>
      </c>
      <c r="B10">
        <v>49</v>
      </c>
      <c r="C10">
        <v>66</v>
      </c>
      <c r="D10">
        <v>40</v>
      </c>
      <c r="E10">
        <v>73</v>
      </c>
      <c r="F10">
        <v>10</v>
      </c>
      <c r="G10">
        <v>39</v>
      </c>
      <c r="H10">
        <v>378</v>
      </c>
      <c r="I10">
        <v>26</v>
      </c>
      <c r="J10">
        <v>178</v>
      </c>
      <c r="K10">
        <v>11</v>
      </c>
      <c r="L10">
        <v>94</v>
      </c>
      <c r="M10">
        <v>73</v>
      </c>
      <c r="N10">
        <v>72</v>
      </c>
      <c r="O10">
        <v>32</v>
      </c>
      <c r="P10">
        <v>24</v>
      </c>
      <c r="Q10">
        <v>89</v>
      </c>
      <c r="R10">
        <v>5</v>
      </c>
      <c r="S10">
        <v>41</v>
      </c>
      <c r="T10" t="s">
        <v>9</v>
      </c>
      <c r="U10">
        <v>97</v>
      </c>
      <c r="V10" t="s">
        <v>9</v>
      </c>
    </row>
    <row r="11" spans="1:22" x14ac:dyDescent="0.35">
      <c r="A11" t="s">
        <v>53</v>
      </c>
      <c r="B11">
        <v>56</v>
      </c>
      <c r="C11">
        <v>64</v>
      </c>
      <c r="D11">
        <v>36</v>
      </c>
      <c r="E11">
        <v>71</v>
      </c>
      <c r="F11">
        <v>10</v>
      </c>
      <c r="G11">
        <v>34</v>
      </c>
      <c r="H11">
        <v>396</v>
      </c>
      <c r="I11">
        <v>10</v>
      </c>
      <c r="J11">
        <v>186</v>
      </c>
      <c r="K11">
        <v>7</v>
      </c>
      <c r="L11">
        <v>73</v>
      </c>
      <c r="M11">
        <v>62</v>
      </c>
      <c r="N11">
        <v>83</v>
      </c>
      <c r="O11">
        <v>32</v>
      </c>
      <c r="P11">
        <v>23</v>
      </c>
      <c r="Q11">
        <v>100</v>
      </c>
      <c r="R11" t="s">
        <v>9</v>
      </c>
      <c r="S11">
        <v>30</v>
      </c>
      <c r="T11">
        <v>6</v>
      </c>
      <c r="U11">
        <v>88</v>
      </c>
      <c r="V11" t="s">
        <v>9</v>
      </c>
    </row>
    <row r="12" spans="1:22" x14ac:dyDescent="0.35">
      <c r="A12" t="s">
        <v>52</v>
      </c>
      <c r="B12">
        <v>39</v>
      </c>
      <c r="C12">
        <v>53</v>
      </c>
      <c r="D12">
        <v>34</v>
      </c>
      <c r="E12">
        <v>67</v>
      </c>
      <c r="F12">
        <v>8</v>
      </c>
      <c r="G12">
        <v>25</v>
      </c>
      <c r="H12">
        <v>361</v>
      </c>
      <c r="I12">
        <v>16</v>
      </c>
      <c r="J12">
        <v>214</v>
      </c>
      <c r="K12">
        <v>7</v>
      </c>
      <c r="L12">
        <v>92</v>
      </c>
      <c r="M12">
        <v>81</v>
      </c>
      <c r="N12">
        <v>51</v>
      </c>
      <c r="O12">
        <v>39</v>
      </c>
      <c r="P12">
        <v>20</v>
      </c>
      <c r="Q12">
        <v>92</v>
      </c>
      <c r="R12" t="s">
        <v>9</v>
      </c>
      <c r="S12">
        <v>32</v>
      </c>
      <c r="T12">
        <v>7</v>
      </c>
      <c r="U12">
        <v>92</v>
      </c>
      <c r="V12" t="s">
        <v>9</v>
      </c>
    </row>
    <row r="13" spans="1:22" x14ac:dyDescent="0.35">
      <c r="A13" t="s">
        <v>51</v>
      </c>
      <c r="B13">
        <v>38</v>
      </c>
      <c r="C13">
        <v>57</v>
      </c>
      <c r="D13">
        <v>46</v>
      </c>
      <c r="E13">
        <v>74</v>
      </c>
      <c r="F13" t="s">
        <v>9</v>
      </c>
      <c r="G13">
        <v>21</v>
      </c>
      <c r="H13">
        <v>315</v>
      </c>
      <c r="I13">
        <v>15</v>
      </c>
      <c r="J13">
        <v>170</v>
      </c>
      <c r="K13">
        <v>6</v>
      </c>
      <c r="L13">
        <v>64</v>
      </c>
      <c r="M13">
        <v>56</v>
      </c>
      <c r="N13">
        <v>56</v>
      </c>
      <c r="O13">
        <v>34</v>
      </c>
      <c r="P13">
        <v>11</v>
      </c>
      <c r="Q13">
        <v>85</v>
      </c>
      <c r="R13" t="s">
        <v>9</v>
      </c>
      <c r="S13">
        <v>27</v>
      </c>
      <c r="T13" t="s">
        <v>9</v>
      </c>
      <c r="U13">
        <v>81</v>
      </c>
      <c r="V13" t="s">
        <v>9</v>
      </c>
    </row>
    <row r="14" spans="1:22" x14ac:dyDescent="0.35">
      <c r="A14" t="s">
        <v>50</v>
      </c>
      <c r="B14">
        <v>55</v>
      </c>
      <c r="C14">
        <v>64</v>
      </c>
      <c r="D14">
        <v>45</v>
      </c>
      <c r="E14">
        <v>67</v>
      </c>
      <c r="F14">
        <v>9</v>
      </c>
      <c r="G14">
        <v>23</v>
      </c>
      <c r="H14">
        <v>343</v>
      </c>
      <c r="I14">
        <v>13</v>
      </c>
      <c r="J14">
        <v>198</v>
      </c>
      <c r="K14">
        <v>10</v>
      </c>
      <c r="L14">
        <v>51</v>
      </c>
      <c r="M14">
        <v>76</v>
      </c>
      <c r="N14">
        <v>63</v>
      </c>
      <c r="O14">
        <v>30</v>
      </c>
      <c r="P14">
        <v>30</v>
      </c>
      <c r="Q14">
        <v>83</v>
      </c>
      <c r="R14" t="s">
        <v>9</v>
      </c>
      <c r="S14">
        <v>28</v>
      </c>
      <c r="T14">
        <v>5</v>
      </c>
      <c r="U14">
        <v>71</v>
      </c>
      <c r="V14" t="s">
        <v>9</v>
      </c>
    </row>
    <row r="15" spans="1:22" x14ac:dyDescent="0.35">
      <c r="A15" t="s">
        <v>49</v>
      </c>
      <c r="B15">
        <v>42</v>
      </c>
      <c r="C15">
        <v>67</v>
      </c>
      <c r="D15">
        <v>29</v>
      </c>
      <c r="E15">
        <v>73</v>
      </c>
      <c r="F15" t="s">
        <v>9</v>
      </c>
      <c r="G15">
        <v>17</v>
      </c>
      <c r="H15">
        <v>290</v>
      </c>
      <c r="I15">
        <v>14</v>
      </c>
      <c r="J15">
        <v>179</v>
      </c>
      <c r="K15">
        <v>7</v>
      </c>
      <c r="L15">
        <v>61</v>
      </c>
      <c r="M15">
        <v>62</v>
      </c>
      <c r="N15">
        <v>66</v>
      </c>
      <c r="O15">
        <v>29</v>
      </c>
      <c r="P15">
        <v>27</v>
      </c>
      <c r="Q15">
        <v>78</v>
      </c>
      <c r="R15">
        <v>10</v>
      </c>
      <c r="S15">
        <v>33</v>
      </c>
      <c r="T15">
        <v>6</v>
      </c>
      <c r="U15">
        <v>94</v>
      </c>
      <c r="V15" t="s">
        <v>9</v>
      </c>
    </row>
    <row r="16" spans="1:22" x14ac:dyDescent="0.35">
      <c r="A16" t="s">
        <v>48</v>
      </c>
      <c r="B16">
        <v>33</v>
      </c>
      <c r="C16">
        <v>67</v>
      </c>
      <c r="D16">
        <v>41</v>
      </c>
      <c r="E16">
        <v>74</v>
      </c>
      <c r="F16" t="s">
        <v>9</v>
      </c>
      <c r="G16">
        <v>18</v>
      </c>
      <c r="H16">
        <v>313</v>
      </c>
      <c r="I16">
        <v>14</v>
      </c>
      <c r="J16">
        <v>189</v>
      </c>
      <c r="K16">
        <v>14</v>
      </c>
      <c r="L16">
        <v>65</v>
      </c>
      <c r="M16">
        <v>65</v>
      </c>
      <c r="N16">
        <v>43</v>
      </c>
      <c r="O16">
        <v>22</v>
      </c>
      <c r="P16">
        <v>29</v>
      </c>
      <c r="Q16">
        <v>98</v>
      </c>
      <c r="R16" t="s">
        <v>9</v>
      </c>
      <c r="S16">
        <v>38</v>
      </c>
      <c r="T16">
        <v>5</v>
      </c>
      <c r="U16">
        <v>91</v>
      </c>
      <c r="V16" t="s">
        <v>9</v>
      </c>
    </row>
    <row r="17" spans="1:22" x14ac:dyDescent="0.35">
      <c r="A17" t="s">
        <v>47</v>
      </c>
      <c r="B17">
        <v>50</v>
      </c>
      <c r="C17">
        <v>69</v>
      </c>
      <c r="D17">
        <v>45</v>
      </c>
      <c r="E17">
        <v>70</v>
      </c>
      <c r="F17">
        <v>6</v>
      </c>
      <c r="G17">
        <v>19</v>
      </c>
      <c r="H17">
        <v>320</v>
      </c>
      <c r="I17">
        <v>9</v>
      </c>
      <c r="J17">
        <v>168</v>
      </c>
      <c r="K17">
        <v>7</v>
      </c>
      <c r="L17">
        <v>59</v>
      </c>
      <c r="M17">
        <v>84</v>
      </c>
      <c r="N17">
        <v>32</v>
      </c>
      <c r="O17">
        <v>25</v>
      </c>
      <c r="P17">
        <v>21</v>
      </c>
      <c r="Q17">
        <v>74</v>
      </c>
      <c r="R17" t="s">
        <v>9</v>
      </c>
      <c r="S17">
        <v>34</v>
      </c>
      <c r="T17" t="s">
        <v>9</v>
      </c>
      <c r="U17">
        <v>68</v>
      </c>
      <c r="V17">
        <v>6</v>
      </c>
    </row>
    <row r="18" spans="1:22" x14ac:dyDescent="0.35">
      <c r="A18" t="s">
        <v>46</v>
      </c>
      <c r="B18">
        <v>45</v>
      </c>
      <c r="C18">
        <v>69</v>
      </c>
      <c r="D18">
        <v>29</v>
      </c>
      <c r="E18">
        <v>61</v>
      </c>
      <c r="F18" t="s">
        <v>9</v>
      </c>
      <c r="G18">
        <v>20</v>
      </c>
      <c r="H18">
        <v>306</v>
      </c>
      <c r="I18">
        <v>17</v>
      </c>
      <c r="J18">
        <v>171</v>
      </c>
      <c r="K18">
        <v>9</v>
      </c>
      <c r="L18">
        <v>57</v>
      </c>
      <c r="M18">
        <v>82</v>
      </c>
      <c r="N18">
        <v>54</v>
      </c>
      <c r="O18">
        <v>34</v>
      </c>
      <c r="P18">
        <v>17</v>
      </c>
      <c r="Q18">
        <v>82</v>
      </c>
      <c r="R18" t="s">
        <v>9</v>
      </c>
      <c r="S18">
        <v>33</v>
      </c>
      <c r="T18">
        <v>5</v>
      </c>
      <c r="U18">
        <v>67</v>
      </c>
      <c r="V18" t="s">
        <v>9</v>
      </c>
    </row>
    <row r="19" spans="1:22" x14ac:dyDescent="0.35">
      <c r="A19" t="s">
        <v>45</v>
      </c>
      <c r="B19">
        <v>31</v>
      </c>
      <c r="C19">
        <v>47</v>
      </c>
      <c r="D19">
        <v>37</v>
      </c>
      <c r="E19">
        <v>63</v>
      </c>
      <c r="F19" t="s">
        <v>9</v>
      </c>
      <c r="G19">
        <v>29</v>
      </c>
      <c r="H19">
        <v>309</v>
      </c>
      <c r="I19">
        <v>15</v>
      </c>
      <c r="J19">
        <v>160</v>
      </c>
      <c r="K19" t="s">
        <v>9</v>
      </c>
      <c r="L19">
        <v>47</v>
      </c>
      <c r="M19">
        <v>86</v>
      </c>
      <c r="N19">
        <v>43</v>
      </c>
      <c r="O19">
        <v>30</v>
      </c>
      <c r="P19">
        <v>24</v>
      </c>
      <c r="Q19">
        <v>54</v>
      </c>
      <c r="R19">
        <v>0</v>
      </c>
      <c r="S19">
        <v>24</v>
      </c>
      <c r="T19">
        <v>6</v>
      </c>
      <c r="U19">
        <v>90</v>
      </c>
      <c r="V19" t="s">
        <v>9</v>
      </c>
    </row>
    <row r="20" spans="1:22" x14ac:dyDescent="0.35">
      <c r="A20" t="s">
        <v>44</v>
      </c>
      <c r="B20">
        <v>33</v>
      </c>
      <c r="C20">
        <v>56</v>
      </c>
      <c r="D20">
        <v>35</v>
      </c>
      <c r="E20">
        <v>49</v>
      </c>
      <c r="F20" t="s">
        <v>9</v>
      </c>
      <c r="G20">
        <v>16</v>
      </c>
      <c r="H20">
        <v>259</v>
      </c>
      <c r="I20">
        <v>16</v>
      </c>
      <c r="J20">
        <v>164</v>
      </c>
      <c r="K20" t="s">
        <v>9</v>
      </c>
      <c r="L20">
        <v>40</v>
      </c>
      <c r="M20">
        <v>78</v>
      </c>
      <c r="N20">
        <v>24</v>
      </c>
      <c r="O20">
        <v>27</v>
      </c>
      <c r="P20">
        <v>18</v>
      </c>
      <c r="Q20">
        <v>77</v>
      </c>
      <c r="R20" t="s">
        <v>9</v>
      </c>
      <c r="S20">
        <v>30</v>
      </c>
      <c r="T20">
        <v>7</v>
      </c>
      <c r="U20">
        <v>70</v>
      </c>
      <c r="V20" t="s">
        <v>9</v>
      </c>
    </row>
    <row r="21" spans="1:22" x14ac:dyDescent="0.35">
      <c r="A21" t="s">
        <v>43</v>
      </c>
      <c r="B21">
        <v>34</v>
      </c>
      <c r="C21">
        <v>61</v>
      </c>
      <c r="D21">
        <v>37</v>
      </c>
      <c r="E21">
        <v>64</v>
      </c>
      <c r="F21" t="s">
        <v>9</v>
      </c>
      <c r="G21">
        <v>19</v>
      </c>
      <c r="H21">
        <v>229</v>
      </c>
      <c r="I21">
        <v>14</v>
      </c>
      <c r="J21">
        <v>147</v>
      </c>
      <c r="K21">
        <v>7</v>
      </c>
      <c r="L21">
        <v>55</v>
      </c>
      <c r="M21">
        <v>72</v>
      </c>
      <c r="N21">
        <v>62</v>
      </c>
      <c r="O21">
        <v>22</v>
      </c>
      <c r="P21">
        <v>31</v>
      </c>
      <c r="Q21">
        <v>87</v>
      </c>
      <c r="R21">
        <v>5</v>
      </c>
      <c r="S21">
        <v>26</v>
      </c>
      <c r="T21" t="s">
        <v>9</v>
      </c>
      <c r="U21">
        <v>92</v>
      </c>
      <c r="V21" t="s">
        <v>9</v>
      </c>
    </row>
    <row r="22" spans="1:22" x14ac:dyDescent="0.35">
      <c r="A22" t="s">
        <v>42</v>
      </c>
      <c r="B22">
        <v>11</v>
      </c>
      <c r="C22">
        <v>46</v>
      </c>
      <c r="D22">
        <v>38</v>
      </c>
      <c r="E22">
        <v>58</v>
      </c>
      <c r="F22" t="s">
        <v>9</v>
      </c>
      <c r="G22">
        <v>11</v>
      </c>
      <c r="H22">
        <v>200</v>
      </c>
      <c r="I22">
        <v>8</v>
      </c>
      <c r="J22">
        <v>127</v>
      </c>
      <c r="K22" t="s">
        <v>9</v>
      </c>
      <c r="L22">
        <v>48</v>
      </c>
      <c r="M22">
        <v>52</v>
      </c>
      <c r="N22">
        <v>22</v>
      </c>
      <c r="O22">
        <v>15</v>
      </c>
      <c r="P22">
        <v>10</v>
      </c>
      <c r="Q22">
        <v>49</v>
      </c>
      <c r="R22">
        <v>6</v>
      </c>
      <c r="S22">
        <v>10</v>
      </c>
      <c r="T22">
        <v>5</v>
      </c>
      <c r="U22">
        <v>71</v>
      </c>
      <c r="V22" t="s">
        <v>9</v>
      </c>
    </row>
    <row r="23" spans="1:22" x14ac:dyDescent="0.35">
      <c r="A23" t="s">
        <v>41</v>
      </c>
      <c r="B23">
        <v>31</v>
      </c>
      <c r="C23">
        <v>60</v>
      </c>
      <c r="D23">
        <v>50</v>
      </c>
      <c r="E23">
        <v>90</v>
      </c>
      <c r="F23" t="s">
        <v>9</v>
      </c>
      <c r="G23">
        <v>19</v>
      </c>
      <c r="H23">
        <v>266</v>
      </c>
      <c r="I23">
        <v>20</v>
      </c>
      <c r="J23">
        <v>149</v>
      </c>
      <c r="K23">
        <v>8</v>
      </c>
      <c r="L23">
        <v>54</v>
      </c>
      <c r="M23">
        <v>81</v>
      </c>
      <c r="N23">
        <v>44</v>
      </c>
      <c r="O23">
        <v>31</v>
      </c>
      <c r="P23">
        <v>24</v>
      </c>
      <c r="Q23">
        <v>77</v>
      </c>
      <c r="R23" t="s">
        <v>9</v>
      </c>
      <c r="S23">
        <v>25</v>
      </c>
      <c r="T23" t="s">
        <v>9</v>
      </c>
      <c r="U23">
        <v>96</v>
      </c>
      <c r="V23" t="s">
        <v>9</v>
      </c>
    </row>
    <row r="24" spans="1:22" x14ac:dyDescent="0.35">
      <c r="A24" t="s">
        <v>9</v>
      </c>
    </row>
    <row r="25" spans="1:22" x14ac:dyDescent="0.35">
      <c r="A25" t="s">
        <v>9</v>
      </c>
    </row>
    <row r="26" spans="1:22" x14ac:dyDescent="0.35">
      <c r="A26" t="s">
        <v>9</v>
      </c>
    </row>
    <row r="27" spans="1:22" x14ac:dyDescent="0.35">
      <c r="A27" t="s">
        <v>10</v>
      </c>
      <c r="B27" t="s">
        <v>40</v>
      </c>
    </row>
    <row r="28" spans="1:22" x14ac:dyDescent="0.35">
      <c r="A28" t="s">
        <v>11</v>
      </c>
      <c r="B28" t="s">
        <v>39</v>
      </c>
    </row>
    <row r="30" spans="1:22" x14ac:dyDescent="0.35">
      <c r="A30" t="s">
        <v>64</v>
      </c>
    </row>
    <row r="31" spans="1:22" x14ac:dyDescent="0.35">
      <c r="A31" t="s">
        <v>65</v>
      </c>
    </row>
    <row r="32" spans="1:22" x14ac:dyDescent="0.35">
      <c r="A32" t="s">
        <v>66</v>
      </c>
    </row>
    <row r="33" spans="1:21" x14ac:dyDescent="0.35">
      <c r="A33" t="s">
        <v>69</v>
      </c>
    </row>
    <row r="34" spans="1:21" x14ac:dyDescent="0.35">
      <c r="A34" t="s">
        <v>71</v>
      </c>
    </row>
    <row r="35" spans="1:21" x14ac:dyDescent="0.35">
      <c r="A35" t="s">
        <v>67</v>
      </c>
    </row>
    <row r="36" spans="1:21" x14ac:dyDescent="0.35">
      <c r="A36" t="s">
        <v>68</v>
      </c>
    </row>
    <row r="37" spans="1:21" x14ac:dyDescent="0.35">
      <c r="A37" t="s">
        <v>70</v>
      </c>
    </row>
    <row r="38" spans="1:21" x14ac:dyDescent="0.35">
      <c r="A38" t="str">
        <f>"("&amp;$A10&amp;",'"&amp;B$9&amp;"',"&amp;IF(LEN(B10)&gt;0,B10,"NULL")&amp;")"&amp;IF(LEN($A11)+LEN(C$9)&gt;0,",",";")</f>
        <v>(2008,'Atlantic',49),</v>
      </c>
      <c r="B38" t="str">
        <f>"("&amp;$A10&amp;",'"&amp;C$9&amp;"',"&amp;IF(LEN(C10)&gt;0,C10,"NULL")&amp;")"&amp;IF(LEN($A11)+LEN(D$9)&gt;0,",",";")</f>
        <v>(2008,'Bergen',66),</v>
      </c>
      <c r="C38" t="str">
        <f>"("&amp;$A10&amp;",'"&amp;D$9&amp;"',"&amp;IF(LEN(D10)&gt;0,D10,"NULL")&amp;")"&amp;IF(LEN($A11)+LEN(E$9)&gt;0,",",";")</f>
        <v>(2008,'Burlington',40),</v>
      </c>
      <c r="D38" t="str">
        <f>"("&amp;$A10&amp;",'"&amp;E$9&amp;"',"&amp;IF(LEN(E10)&gt;0,E10,"NULL")&amp;")"&amp;IF(LEN($A11)+LEN(F$9)&gt;0,",",";")</f>
        <v>(2008,'Camden',73),</v>
      </c>
      <c r="E38" t="str">
        <f>"("&amp;$A10&amp;",'"&amp;F$9&amp;"',"&amp;IF(LEN(F10)&gt;0,F10,"NULL")&amp;")"&amp;IF(LEN($A11)+LEN(G$9)&gt;0,",",";")</f>
        <v>(2008,'Cape May',10),</v>
      </c>
      <c r="F38" t="str">
        <f>"("&amp;$A10&amp;",'"&amp;G$9&amp;"',"&amp;IF(LEN(G10)&gt;0,G10,"NULL")&amp;")"&amp;IF(LEN($A11)+LEN(H$9)&gt;0,",",";")</f>
        <v>(2008,'Cumberland',39),</v>
      </c>
      <c r="G38" t="str">
        <f>"("&amp;$A10&amp;",'"&amp;H$9&amp;"',"&amp;IF(LEN(H10)&gt;0,H10,"NULL")&amp;")"&amp;IF(LEN($A11)+LEN(I$9)&gt;0,",",";")</f>
        <v>(2008,'Essex',378),</v>
      </c>
      <c r="H38" t="str">
        <f>"("&amp;$A10&amp;",'"&amp;I$9&amp;"',"&amp;IF(LEN(I10)&gt;0,I10,"NULL")&amp;")"&amp;IF(LEN($A11)+LEN(J$9)&gt;0,",",";")</f>
        <v>(2008,'Gloucester',26),</v>
      </c>
      <c r="I38" t="str">
        <f>"("&amp;$A10&amp;",'"&amp;J$9&amp;"',"&amp;IF(LEN(J10)&gt;0,J10,"NULL")&amp;")"&amp;IF(LEN($A11)+LEN(K$9)&gt;0,",",";")</f>
        <v>(2008,'Hudson',178),</v>
      </c>
      <c r="J38" t="str">
        <f>"("&amp;$A10&amp;",'"&amp;K$9&amp;"',"&amp;IF(LEN(K10)&gt;0,K10,"NULL")&amp;")"&amp;IF(LEN($A11)+LEN(L$9)&gt;0,",",";")</f>
        <v>(2008,'Hunterdon',11),</v>
      </c>
      <c r="K38" t="str">
        <f>"("&amp;$A10&amp;",'"&amp;L$9&amp;"',"&amp;IF(LEN(L10)&gt;0,L10,"NULL")&amp;")"&amp;IF(LEN($A11)+LEN(M$9)&gt;0,",",";")</f>
        <v>(2008,'Mercer',94),</v>
      </c>
      <c r="L38" t="str">
        <f>"("&amp;$A10&amp;",'"&amp;M$9&amp;"',"&amp;IF(LEN(M10)&gt;0,M10,"NULL")&amp;")"&amp;IF(LEN($A11)+LEN(N$9)&gt;0,",",";")</f>
        <v>(2008,'Middlesex',73),</v>
      </c>
      <c r="M38" t="str">
        <f>"("&amp;$A10&amp;",'"&amp;N$9&amp;"',"&amp;IF(LEN(N10)&gt;0,N10,"NULL")&amp;")"&amp;IF(LEN($A11)+LEN(O$9)&gt;0,",",";")</f>
        <v>(2008,'Monmouth',72),</v>
      </c>
      <c r="N38" t="str">
        <f>"("&amp;$A10&amp;",'"&amp;O$9&amp;"',"&amp;IF(LEN(O10)&gt;0,O10,"NULL")&amp;")"&amp;IF(LEN($A11)+LEN(P$9)&gt;0,",",";")</f>
        <v>(2008,'Morris',32),</v>
      </c>
      <c r="O38" t="str">
        <f>"("&amp;$A10&amp;",'"&amp;P$9&amp;"',"&amp;IF(LEN(P10)&gt;0,P10,"NULL")&amp;")"&amp;IF(LEN($A11)+LEN(Q$9)&gt;0,",",";")</f>
        <v>(2008,'Ocean',24),</v>
      </c>
      <c r="P38" t="str">
        <f>"("&amp;$A10&amp;",'"&amp;Q$9&amp;"',"&amp;IF(LEN(Q10)&gt;0,Q10,"NULL")&amp;")"&amp;IF(LEN($A11)+LEN(R$9)&gt;0,",",";")</f>
        <v>(2008,'Passaic',89),</v>
      </c>
      <c r="Q38" t="str">
        <f>"("&amp;$A10&amp;",'"&amp;R$9&amp;"',"&amp;IF(LEN(R10)&gt;0,R10,"NULL")&amp;")"&amp;IF(LEN($A11)+LEN(S$9)&gt;0,",",";")</f>
        <v>(2008,'Salem',5),</v>
      </c>
      <c r="R38" t="str">
        <f>"("&amp;$A10&amp;",'"&amp;S$9&amp;"',"&amp;IF(LEN(S10)&gt;0,S10,"NULL")&amp;")"&amp;IF(LEN($A11)+LEN(T$9)&gt;0,",",";")</f>
        <v>(2008,'Somerset',41),</v>
      </c>
      <c r="S38" t="str">
        <f>"("&amp;$A10&amp;",'"&amp;T$9&amp;"',"&amp;IF(LEN(T10)&gt;0,T10,"NULL")&amp;")"&amp;IF(LEN($A11)+LEN(U$9)&gt;0,",",";")</f>
        <v>(2008,'Sussex',NULL),</v>
      </c>
      <c r="T38" t="str">
        <f>"("&amp;$A10&amp;",'"&amp;U$9&amp;"',"&amp;IF(LEN(U10)&gt;0,U10,"NULL")&amp;")"&amp;IF(LEN($A11)+LEN(V$9)&gt;0,",",";")</f>
        <v>(2008,'Union',97),</v>
      </c>
      <c r="U38" t="str">
        <f>"("&amp;$A10&amp;",'"&amp;V$9&amp;"',"&amp;IF(LEN(V10)&gt;0,V10,"NULL")&amp;")"&amp;IF(LEN($A11)+LEN(W$9)&gt;0,",",";")</f>
        <v>(2008,'Warren',NULL),</v>
      </c>
    </row>
    <row r="39" spans="1:21" x14ac:dyDescent="0.35">
      <c r="A39" t="str">
        <f>"("&amp;$A11&amp;",'"&amp;B$9&amp;"',"&amp;IF(LEN(B11)&gt;0,B11,"NULL")&amp;")"&amp;IF(LEN($A12)+LEN(C$9)&gt;0,",",";")</f>
        <v>(2009,'Atlantic',56),</v>
      </c>
      <c r="B39" t="str">
        <f>"("&amp;$A11&amp;",'"&amp;C$9&amp;"',"&amp;IF(LEN(C11)&gt;0,C11,"NULL")&amp;")"&amp;IF(LEN($A12)+LEN(D$9)&gt;0,",",";")</f>
        <v>(2009,'Bergen',64),</v>
      </c>
      <c r="C39" t="str">
        <f>"("&amp;$A11&amp;",'"&amp;D$9&amp;"',"&amp;IF(LEN(D11)&gt;0,D11,"NULL")&amp;")"&amp;IF(LEN($A12)+LEN(E$9)&gt;0,",",";")</f>
        <v>(2009,'Burlington',36),</v>
      </c>
      <c r="D39" t="str">
        <f>"("&amp;$A11&amp;",'"&amp;E$9&amp;"',"&amp;IF(LEN(E11)&gt;0,E11,"NULL")&amp;")"&amp;IF(LEN($A12)+LEN(F$9)&gt;0,",",";")</f>
        <v>(2009,'Camden',71),</v>
      </c>
      <c r="E39" t="str">
        <f>"("&amp;$A11&amp;",'"&amp;F$9&amp;"',"&amp;IF(LEN(F11)&gt;0,F11,"NULL")&amp;")"&amp;IF(LEN($A12)+LEN(G$9)&gt;0,",",";")</f>
        <v>(2009,'Cape May',10),</v>
      </c>
      <c r="F39" t="str">
        <f>"("&amp;$A11&amp;",'"&amp;G$9&amp;"',"&amp;IF(LEN(G11)&gt;0,G11,"NULL")&amp;")"&amp;IF(LEN($A12)+LEN(H$9)&gt;0,",",";")</f>
        <v>(2009,'Cumberland',34),</v>
      </c>
      <c r="G39" t="str">
        <f>"("&amp;$A11&amp;",'"&amp;H$9&amp;"',"&amp;IF(LEN(H11)&gt;0,H11,"NULL")&amp;")"&amp;IF(LEN($A12)+LEN(I$9)&gt;0,",",";")</f>
        <v>(2009,'Essex',396),</v>
      </c>
      <c r="H39" t="str">
        <f>"("&amp;$A11&amp;",'"&amp;I$9&amp;"',"&amp;IF(LEN(I11)&gt;0,I11,"NULL")&amp;")"&amp;IF(LEN($A12)+LEN(J$9)&gt;0,",",";")</f>
        <v>(2009,'Gloucester',10),</v>
      </c>
      <c r="I39" t="str">
        <f>"("&amp;$A11&amp;",'"&amp;J$9&amp;"',"&amp;IF(LEN(J11)&gt;0,J11,"NULL")&amp;")"&amp;IF(LEN($A12)+LEN(K$9)&gt;0,",",";")</f>
        <v>(2009,'Hudson',186),</v>
      </c>
      <c r="J39" t="str">
        <f>"("&amp;$A11&amp;",'"&amp;K$9&amp;"',"&amp;IF(LEN(K11)&gt;0,K11,"NULL")&amp;")"&amp;IF(LEN($A12)+LEN(L$9)&gt;0,",",";")</f>
        <v>(2009,'Hunterdon',7),</v>
      </c>
      <c r="K39" t="str">
        <f>"("&amp;$A11&amp;",'"&amp;L$9&amp;"',"&amp;IF(LEN(L11)&gt;0,L11,"NULL")&amp;")"&amp;IF(LEN($A12)+LEN(M$9)&gt;0,",",";")</f>
        <v>(2009,'Mercer',73),</v>
      </c>
      <c r="L39" t="str">
        <f>"("&amp;$A11&amp;",'"&amp;M$9&amp;"',"&amp;IF(LEN(M11)&gt;0,M11,"NULL")&amp;")"&amp;IF(LEN($A12)+LEN(N$9)&gt;0,",",";")</f>
        <v>(2009,'Middlesex',62),</v>
      </c>
      <c r="M39" t="str">
        <f>"("&amp;$A11&amp;",'"&amp;N$9&amp;"',"&amp;IF(LEN(N11)&gt;0,N11,"NULL")&amp;")"&amp;IF(LEN($A12)+LEN(O$9)&gt;0,",",";")</f>
        <v>(2009,'Monmouth',83),</v>
      </c>
      <c r="N39" t="str">
        <f>"("&amp;$A11&amp;",'"&amp;O$9&amp;"',"&amp;IF(LEN(O11)&gt;0,O11,"NULL")&amp;")"&amp;IF(LEN($A12)+LEN(P$9)&gt;0,",",";")</f>
        <v>(2009,'Morris',32),</v>
      </c>
      <c r="O39" t="str">
        <f>"("&amp;$A11&amp;",'"&amp;P$9&amp;"',"&amp;IF(LEN(P11)&gt;0,P11,"NULL")&amp;")"&amp;IF(LEN($A12)+LEN(Q$9)&gt;0,",",";")</f>
        <v>(2009,'Ocean',23),</v>
      </c>
      <c r="P39" t="str">
        <f>"("&amp;$A11&amp;",'"&amp;Q$9&amp;"',"&amp;IF(LEN(Q11)&gt;0,Q11,"NULL")&amp;")"&amp;IF(LEN($A12)+LEN(R$9)&gt;0,",",";")</f>
        <v>(2009,'Passaic',100),</v>
      </c>
      <c r="Q39" t="str">
        <f>"("&amp;$A11&amp;",'"&amp;R$9&amp;"',"&amp;IF(LEN(R11)&gt;0,R11,"NULL")&amp;")"&amp;IF(LEN($A12)+LEN(S$9)&gt;0,",",";")</f>
        <v>(2009,'Salem',NULL),</v>
      </c>
      <c r="R39" t="str">
        <f>"("&amp;$A11&amp;",'"&amp;S$9&amp;"',"&amp;IF(LEN(S11)&gt;0,S11,"NULL")&amp;")"&amp;IF(LEN($A12)+LEN(T$9)&gt;0,",",";")</f>
        <v>(2009,'Somerset',30),</v>
      </c>
      <c r="S39" t="str">
        <f>"("&amp;$A11&amp;",'"&amp;T$9&amp;"',"&amp;IF(LEN(T11)&gt;0,T11,"NULL")&amp;")"&amp;IF(LEN($A12)+LEN(U$9)&gt;0,",",";")</f>
        <v>(2009,'Sussex',6),</v>
      </c>
      <c r="T39" t="str">
        <f>"("&amp;$A11&amp;",'"&amp;U$9&amp;"',"&amp;IF(LEN(U11)&gt;0,U11,"NULL")&amp;")"&amp;IF(LEN($A12)+LEN(V$9)&gt;0,",",";")</f>
        <v>(2009,'Union',88),</v>
      </c>
      <c r="U39" t="str">
        <f>"("&amp;$A11&amp;",'"&amp;V$9&amp;"',"&amp;IF(LEN(V11)&gt;0,V11,"NULL")&amp;")"&amp;IF(LEN($A12)+LEN(W$9)&gt;0,",",";")</f>
        <v>(2009,'Warren',NULL),</v>
      </c>
    </row>
    <row r="40" spans="1:21" x14ac:dyDescent="0.35">
      <c r="A40" t="str">
        <f>"("&amp;$A12&amp;",'"&amp;B$9&amp;"',"&amp;IF(LEN(B12)&gt;0,B12,"NULL")&amp;")"&amp;IF(LEN($A13)+LEN(C$9)&gt;0,",",";")</f>
        <v>(2010,'Atlantic',39),</v>
      </c>
      <c r="B40" t="str">
        <f>"("&amp;$A12&amp;",'"&amp;C$9&amp;"',"&amp;IF(LEN(C12)&gt;0,C12,"NULL")&amp;")"&amp;IF(LEN($A13)+LEN(D$9)&gt;0,",",";")</f>
        <v>(2010,'Bergen',53),</v>
      </c>
      <c r="C40" t="str">
        <f>"("&amp;$A12&amp;",'"&amp;D$9&amp;"',"&amp;IF(LEN(D12)&gt;0,D12,"NULL")&amp;")"&amp;IF(LEN($A13)+LEN(E$9)&gt;0,",",";")</f>
        <v>(2010,'Burlington',34),</v>
      </c>
      <c r="D40" t="str">
        <f>"("&amp;$A12&amp;",'"&amp;E$9&amp;"',"&amp;IF(LEN(E12)&gt;0,E12,"NULL")&amp;")"&amp;IF(LEN($A13)+LEN(F$9)&gt;0,",",";")</f>
        <v>(2010,'Camden',67),</v>
      </c>
      <c r="E40" t="str">
        <f>"("&amp;$A12&amp;",'"&amp;F$9&amp;"',"&amp;IF(LEN(F12)&gt;0,F12,"NULL")&amp;")"&amp;IF(LEN($A13)+LEN(G$9)&gt;0,",",";")</f>
        <v>(2010,'Cape May',8),</v>
      </c>
      <c r="F40" t="str">
        <f>"("&amp;$A12&amp;",'"&amp;G$9&amp;"',"&amp;IF(LEN(G12)&gt;0,G12,"NULL")&amp;")"&amp;IF(LEN($A13)+LEN(H$9)&gt;0,",",";")</f>
        <v>(2010,'Cumberland',25),</v>
      </c>
      <c r="G40" t="str">
        <f>"("&amp;$A12&amp;",'"&amp;H$9&amp;"',"&amp;IF(LEN(H12)&gt;0,H12,"NULL")&amp;")"&amp;IF(LEN($A13)+LEN(I$9)&gt;0,",",";")</f>
        <v>(2010,'Essex',361),</v>
      </c>
      <c r="H40" t="str">
        <f>"("&amp;$A12&amp;",'"&amp;I$9&amp;"',"&amp;IF(LEN(I12)&gt;0,I12,"NULL")&amp;")"&amp;IF(LEN($A13)+LEN(J$9)&gt;0,",",";")</f>
        <v>(2010,'Gloucester',16),</v>
      </c>
      <c r="I40" t="str">
        <f>"("&amp;$A12&amp;",'"&amp;J$9&amp;"',"&amp;IF(LEN(J12)&gt;0,J12,"NULL")&amp;")"&amp;IF(LEN($A13)+LEN(K$9)&gt;0,",",";")</f>
        <v>(2010,'Hudson',214),</v>
      </c>
      <c r="J40" t="str">
        <f>"("&amp;$A12&amp;",'"&amp;K$9&amp;"',"&amp;IF(LEN(K12)&gt;0,K12,"NULL")&amp;")"&amp;IF(LEN($A13)+LEN(L$9)&gt;0,",",";")</f>
        <v>(2010,'Hunterdon',7),</v>
      </c>
      <c r="K40" t="str">
        <f>"("&amp;$A12&amp;",'"&amp;L$9&amp;"',"&amp;IF(LEN(L12)&gt;0,L12,"NULL")&amp;")"&amp;IF(LEN($A13)+LEN(M$9)&gt;0,",",";")</f>
        <v>(2010,'Mercer',92),</v>
      </c>
      <c r="L40" t="str">
        <f>"("&amp;$A12&amp;",'"&amp;M$9&amp;"',"&amp;IF(LEN(M12)&gt;0,M12,"NULL")&amp;")"&amp;IF(LEN($A13)+LEN(N$9)&gt;0,",",";")</f>
        <v>(2010,'Middlesex',81),</v>
      </c>
      <c r="M40" t="str">
        <f>"("&amp;$A12&amp;",'"&amp;N$9&amp;"',"&amp;IF(LEN(N12)&gt;0,N12,"NULL")&amp;")"&amp;IF(LEN($A13)+LEN(O$9)&gt;0,",",";")</f>
        <v>(2010,'Monmouth',51),</v>
      </c>
      <c r="N40" t="str">
        <f>"("&amp;$A12&amp;",'"&amp;O$9&amp;"',"&amp;IF(LEN(O12)&gt;0,O12,"NULL")&amp;")"&amp;IF(LEN($A13)+LEN(P$9)&gt;0,",",";")</f>
        <v>(2010,'Morris',39),</v>
      </c>
      <c r="O40" t="str">
        <f>"("&amp;$A12&amp;",'"&amp;P$9&amp;"',"&amp;IF(LEN(P12)&gt;0,P12,"NULL")&amp;")"&amp;IF(LEN($A13)+LEN(Q$9)&gt;0,",",";")</f>
        <v>(2010,'Ocean',20),</v>
      </c>
      <c r="P40" t="str">
        <f>"("&amp;$A12&amp;",'"&amp;Q$9&amp;"',"&amp;IF(LEN(Q12)&gt;0,Q12,"NULL")&amp;")"&amp;IF(LEN($A13)+LEN(R$9)&gt;0,",",";")</f>
        <v>(2010,'Passaic',92),</v>
      </c>
      <c r="Q40" t="str">
        <f>"("&amp;$A12&amp;",'"&amp;R$9&amp;"',"&amp;IF(LEN(R12)&gt;0,R12,"NULL")&amp;")"&amp;IF(LEN($A13)+LEN(S$9)&gt;0,",",";")</f>
        <v>(2010,'Salem',NULL),</v>
      </c>
      <c r="R40" t="str">
        <f>"("&amp;$A12&amp;",'"&amp;S$9&amp;"',"&amp;IF(LEN(S12)&gt;0,S12,"NULL")&amp;")"&amp;IF(LEN($A13)+LEN(T$9)&gt;0,",",";")</f>
        <v>(2010,'Somerset',32),</v>
      </c>
      <c r="S40" t="str">
        <f>"("&amp;$A12&amp;",'"&amp;T$9&amp;"',"&amp;IF(LEN(T12)&gt;0,T12,"NULL")&amp;")"&amp;IF(LEN($A13)+LEN(U$9)&gt;0,",",";")</f>
        <v>(2010,'Sussex',7),</v>
      </c>
      <c r="T40" t="str">
        <f>"("&amp;$A12&amp;",'"&amp;U$9&amp;"',"&amp;IF(LEN(U12)&gt;0,U12,"NULL")&amp;")"&amp;IF(LEN($A13)+LEN(V$9)&gt;0,",",";")</f>
        <v>(2010,'Union',92),</v>
      </c>
      <c r="U40" t="str">
        <f>"("&amp;$A12&amp;",'"&amp;V$9&amp;"',"&amp;IF(LEN(V12)&gt;0,V12,"NULL")&amp;")"&amp;IF(LEN($A13)+LEN(W$9)&gt;0,",",";")</f>
        <v>(2010,'Warren',NULL),</v>
      </c>
    </row>
    <row r="41" spans="1:21" x14ac:dyDescent="0.35">
      <c r="A41" t="str">
        <f>"("&amp;$A13&amp;",'"&amp;B$9&amp;"',"&amp;IF(LEN(B13)&gt;0,B13,"NULL")&amp;")"&amp;IF(LEN($A14)+LEN(C$9)&gt;0,",",";")</f>
        <v>(2011,'Atlantic',38),</v>
      </c>
      <c r="B41" t="str">
        <f>"("&amp;$A13&amp;",'"&amp;C$9&amp;"',"&amp;IF(LEN(C13)&gt;0,C13,"NULL")&amp;")"&amp;IF(LEN($A14)+LEN(D$9)&gt;0,",",";")</f>
        <v>(2011,'Bergen',57),</v>
      </c>
      <c r="C41" t="str">
        <f>"("&amp;$A13&amp;",'"&amp;D$9&amp;"',"&amp;IF(LEN(D13)&gt;0,D13,"NULL")&amp;")"&amp;IF(LEN($A14)+LEN(E$9)&gt;0,",",";")</f>
        <v>(2011,'Burlington',46),</v>
      </c>
      <c r="D41" t="str">
        <f>"("&amp;$A13&amp;",'"&amp;E$9&amp;"',"&amp;IF(LEN(E13)&gt;0,E13,"NULL")&amp;")"&amp;IF(LEN($A14)+LEN(F$9)&gt;0,",",";")</f>
        <v>(2011,'Camden',74),</v>
      </c>
      <c r="E41" t="str">
        <f>"("&amp;$A13&amp;",'"&amp;F$9&amp;"',"&amp;IF(LEN(F13)&gt;0,F13,"NULL")&amp;")"&amp;IF(LEN($A14)+LEN(G$9)&gt;0,",",";")</f>
        <v>(2011,'Cape May',NULL),</v>
      </c>
      <c r="F41" t="str">
        <f>"("&amp;$A13&amp;",'"&amp;G$9&amp;"',"&amp;IF(LEN(G13)&gt;0,G13,"NULL")&amp;")"&amp;IF(LEN($A14)+LEN(H$9)&gt;0,",",";")</f>
        <v>(2011,'Cumberland',21),</v>
      </c>
      <c r="G41" t="str">
        <f>"("&amp;$A13&amp;",'"&amp;H$9&amp;"',"&amp;IF(LEN(H13)&gt;0,H13,"NULL")&amp;")"&amp;IF(LEN($A14)+LEN(I$9)&gt;0,",",";")</f>
        <v>(2011,'Essex',315),</v>
      </c>
      <c r="H41" t="str">
        <f>"("&amp;$A13&amp;",'"&amp;I$9&amp;"',"&amp;IF(LEN(I13)&gt;0,I13,"NULL")&amp;")"&amp;IF(LEN($A14)+LEN(J$9)&gt;0,",",";")</f>
        <v>(2011,'Gloucester',15),</v>
      </c>
      <c r="I41" t="str">
        <f>"("&amp;$A13&amp;",'"&amp;J$9&amp;"',"&amp;IF(LEN(J13)&gt;0,J13,"NULL")&amp;")"&amp;IF(LEN($A14)+LEN(K$9)&gt;0,",",";")</f>
        <v>(2011,'Hudson',170),</v>
      </c>
      <c r="J41" t="str">
        <f>"("&amp;$A13&amp;",'"&amp;K$9&amp;"',"&amp;IF(LEN(K13)&gt;0,K13,"NULL")&amp;")"&amp;IF(LEN($A14)+LEN(L$9)&gt;0,",",";")</f>
        <v>(2011,'Hunterdon',6),</v>
      </c>
      <c r="K41" t="str">
        <f>"("&amp;$A13&amp;",'"&amp;L$9&amp;"',"&amp;IF(LEN(L13)&gt;0,L13,"NULL")&amp;")"&amp;IF(LEN($A14)+LEN(M$9)&gt;0,",",";")</f>
        <v>(2011,'Mercer',64),</v>
      </c>
      <c r="L41" t="str">
        <f>"("&amp;$A13&amp;",'"&amp;M$9&amp;"',"&amp;IF(LEN(M13)&gt;0,M13,"NULL")&amp;")"&amp;IF(LEN($A14)+LEN(N$9)&gt;0,",",";")</f>
        <v>(2011,'Middlesex',56),</v>
      </c>
      <c r="M41" t="str">
        <f>"("&amp;$A13&amp;",'"&amp;N$9&amp;"',"&amp;IF(LEN(N13)&gt;0,N13,"NULL")&amp;")"&amp;IF(LEN($A14)+LEN(O$9)&gt;0,",",";")</f>
        <v>(2011,'Monmouth',56),</v>
      </c>
      <c r="N41" t="str">
        <f>"("&amp;$A13&amp;",'"&amp;O$9&amp;"',"&amp;IF(LEN(O13)&gt;0,O13,"NULL")&amp;")"&amp;IF(LEN($A14)+LEN(P$9)&gt;0,",",";")</f>
        <v>(2011,'Morris',34),</v>
      </c>
      <c r="O41" t="str">
        <f>"("&amp;$A13&amp;",'"&amp;P$9&amp;"',"&amp;IF(LEN(P13)&gt;0,P13,"NULL")&amp;")"&amp;IF(LEN($A14)+LEN(Q$9)&gt;0,",",";")</f>
        <v>(2011,'Ocean',11),</v>
      </c>
      <c r="P41" t="str">
        <f>"("&amp;$A13&amp;",'"&amp;Q$9&amp;"',"&amp;IF(LEN(Q13)&gt;0,Q13,"NULL")&amp;")"&amp;IF(LEN($A14)+LEN(R$9)&gt;0,",",";")</f>
        <v>(2011,'Passaic',85),</v>
      </c>
      <c r="Q41" t="str">
        <f>"("&amp;$A13&amp;",'"&amp;R$9&amp;"',"&amp;IF(LEN(R13)&gt;0,R13,"NULL")&amp;")"&amp;IF(LEN($A14)+LEN(S$9)&gt;0,",",";")</f>
        <v>(2011,'Salem',NULL),</v>
      </c>
      <c r="R41" t="str">
        <f>"("&amp;$A13&amp;",'"&amp;S$9&amp;"',"&amp;IF(LEN(S13)&gt;0,S13,"NULL")&amp;")"&amp;IF(LEN($A14)+LEN(T$9)&gt;0,",",";")</f>
        <v>(2011,'Somerset',27),</v>
      </c>
      <c r="S41" t="str">
        <f>"("&amp;$A13&amp;",'"&amp;T$9&amp;"',"&amp;IF(LEN(T13)&gt;0,T13,"NULL")&amp;")"&amp;IF(LEN($A14)+LEN(U$9)&gt;0,",",";")</f>
        <v>(2011,'Sussex',NULL),</v>
      </c>
      <c r="T41" t="str">
        <f>"("&amp;$A13&amp;",'"&amp;U$9&amp;"',"&amp;IF(LEN(U13)&gt;0,U13,"NULL")&amp;")"&amp;IF(LEN($A14)+LEN(V$9)&gt;0,",",";")</f>
        <v>(2011,'Union',81),</v>
      </c>
      <c r="U41" t="str">
        <f>"("&amp;$A13&amp;",'"&amp;V$9&amp;"',"&amp;IF(LEN(V13)&gt;0,V13,"NULL")&amp;")"&amp;IF(LEN($A14)+LEN(W$9)&gt;0,",",";")</f>
        <v>(2011,'Warren',NULL),</v>
      </c>
    </row>
    <row r="42" spans="1:21" x14ac:dyDescent="0.35">
      <c r="A42" t="str">
        <f>"("&amp;$A14&amp;",'"&amp;B$9&amp;"',"&amp;IF(LEN(B14)&gt;0,B14,"NULL")&amp;")"&amp;IF(LEN($A15)+LEN(C$9)&gt;0,",",";")</f>
        <v>(2012,'Atlantic',55),</v>
      </c>
      <c r="B42" t="str">
        <f>"("&amp;$A14&amp;",'"&amp;C$9&amp;"',"&amp;IF(LEN(C14)&gt;0,C14,"NULL")&amp;")"&amp;IF(LEN($A15)+LEN(D$9)&gt;0,",",";")</f>
        <v>(2012,'Bergen',64),</v>
      </c>
      <c r="C42" t="str">
        <f>"("&amp;$A14&amp;",'"&amp;D$9&amp;"',"&amp;IF(LEN(D14)&gt;0,D14,"NULL")&amp;")"&amp;IF(LEN($A15)+LEN(E$9)&gt;0,",",";")</f>
        <v>(2012,'Burlington',45),</v>
      </c>
      <c r="D42" t="str">
        <f>"("&amp;$A14&amp;",'"&amp;E$9&amp;"',"&amp;IF(LEN(E14)&gt;0,E14,"NULL")&amp;")"&amp;IF(LEN($A15)+LEN(F$9)&gt;0,",",";")</f>
        <v>(2012,'Camden',67),</v>
      </c>
      <c r="E42" t="str">
        <f>"("&amp;$A14&amp;",'"&amp;F$9&amp;"',"&amp;IF(LEN(F14)&gt;0,F14,"NULL")&amp;")"&amp;IF(LEN($A15)+LEN(G$9)&gt;0,",",";")</f>
        <v>(2012,'Cape May',9),</v>
      </c>
      <c r="F42" t="str">
        <f>"("&amp;$A14&amp;",'"&amp;G$9&amp;"',"&amp;IF(LEN(G14)&gt;0,G14,"NULL")&amp;")"&amp;IF(LEN($A15)+LEN(H$9)&gt;0,",",";")</f>
        <v>(2012,'Cumberland',23),</v>
      </c>
      <c r="G42" t="str">
        <f>"("&amp;$A14&amp;",'"&amp;H$9&amp;"',"&amp;IF(LEN(H14)&gt;0,H14,"NULL")&amp;")"&amp;IF(LEN($A15)+LEN(I$9)&gt;0,",",";")</f>
        <v>(2012,'Essex',343),</v>
      </c>
      <c r="H42" t="str">
        <f>"("&amp;$A14&amp;",'"&amp;I$9&amp;"',"&amp;IF(LEN(I14)&gt;0,I14,"NULL")&amp;")"&amp;IF(LEN($A15)+LEN(J$9)&gt;0,",",";")</f>
        <v>(2012,'Gloucester',13),</v>
      </c>
      <c r="I42" t="str">
        <f>"("&amp;$A14&amp;",'"&amp;J$9&amp;"',"&amp;IF(LEN(J14)&gt;0,J14,"NULL")&amp;")"&amp;IF(LEN($A15)+LEN(K$9)&gt;0,",",";")</f>
        <v>(2012,'Hudson',198),</v>
      </c>
      <c r="J42" t="str">
        <f>"("&amp;$A14&amp;",'"&amp;K$9&amp;"',"&amp;IF(LEN(K14)&gt;0,K14,"NULL")&amp;")"&amp;IF(LEN($A15)+LEN(L$9)&gt;0,",",";")</f>
        <v>(2012,'Hunterdon',10),</v>
      </c>
      <c r="K42" t="str">
        <f>"("&amp;$A14&amp;",'"&amp;L$9&amp;"',"&amp;IF(LEN(L14)&gt;0,L14,"NULL")&amp;")"&amp;IF(LEN($A15)+LEN(M$9)&gt;0,",",";")</f>
        <v>(2012,'Mercer',51),</v>
      </c>
      <c r="L42" t="str">
        <f>"("&amp;$A14&amp;",'"&amp;M$9&amp;"',"&amp;IF(LEN(M14)&gt;0,M14,"NULL")&amp;")"&amp;IF(LEN($A15)+LEN(N$9)&gt;0,",",";")</f>
        <v>(2012,'Middlesex',76),</v>
      </c>
      <c r="M42" t="str">
        <f>"("&amp;$A14&amp;",'"&amp;N$9&amp;"',"&amp;IF(LEN(N14)&gt;0,N14,"NULL")&amp;")"&amp;IF(LEN($A15)+LEN(O$9)&gt;0,",",";")</f>
        <v>(2012,'Monmouth',63),</v>
      </c>
      <c r="N42" t="str">
        <f>"("&amp;$A14&amp;",'"&amp;O$9&amp;"',"&amp;IF(LEN(O14)&gt;0,O14,"NULL")&amp;")"&amp;IF(LEN($A15)+LEN(P$9)&gt;0,",",";")</f>
        <v>(2012,'Morris',30),</v>
      </c>
      <c r="O42" t="str">
        <f>"("&amp;$A14&amp;",'"&amp;P$9&amp;"',"&amp;IF(LEN(P14)&gt;0,P14,"NULL")&amp;")"&amp;IF(LEN($A15)+LEN(Q$9)&gt;0,",",";")</f>
        <v>(2012,'Ocean',30),</v>
      </c>
      <c r="P42" t="str">
        <f>"("&amp;$A14&amp;",'"&amp;Q$9&amp;"',"&amp;IF(LEN(Q14)&gt;0,Q14,"NULL")&amp;")"&amp;IF(LEN($A15)+LEN(R$9)&gt;0,",",";")</f>
        <v>(2012,'Passaic',83),</v>
      </c>
      <c r="Q42" t="str">
        <f>"("&amp;$A14&amp;",'"&amp;R$9&amp;"',"&amp;IF(LEN(R14)&gt;0,R14,"NULL")&amp;")"&amp;IF(LEN($A15)+LEN(S$9)&gt;0,",",";")</f>
        <v>(2012,'Salem',NULL),</v>
      </c>
      <c r="R42" t="str">
        <f>"("&amp;$A14&amp;",'"&amp;S$9&amp;"',"&amp;IF(LEN(S14)&gt;0,S14,"NULL")&amp;")"&amp;IF(LEN($A15)+LEN(T$9)&gt;0,",",";")</f>
        <v>(2012,'Somerset',28),</v>
      </c>
      <c r="S42" t="str">
        <f>"("&amp;$A14&amp;",'"&amp;T$9&amp;"',"&amp;IF(LEN(T14)&gt;0,T14,"NULL")&amp;")"&amp;IF(LEN($A15)+LEN(U$9)&gt;0,",",";")</f>
        <v>(2012,'Sussex',5),</v>
      </c>
      <c r="T42" t="str">
        <f>"("&amp;$A14&amp;",'"&amp;U$9&amp;"',"&amp;IF(LEN(U14)&gt;0,U14,"NULL")&amp;")"&amp;IF(LEN($A15)+LEN(V$9)&gt;0,",",";")</f>
        <v>(2012,'Union',71),</v>
      </c>
      <c r="U42" t="str">
        <f>"("&amp;$A14&amp;",'"&amp;V$9&amp;"',"&amp;IF(LEN(V14)&gt;0,V14,"NULL")&amp;")"&amp;IF(LEN($A15)+LEN(W$9)&gt;0,",",";")</f>
        <v>(2012,'Warren',NULL),</v>
      </c>
    </row>
    <row r="43" spans="1:21" x14ac:dyDescent="0.35">
      <c r="A43" t="str">
        <f>"("&amp;$A15&amp;",'"&amp;B$9&amp;"',"&amp;IF(LEN(B15)&gt;0,B15,"NULL")&amp;")"&amp;IF(LEN($A16)+LEN(C$9)&gt;0,",",";")</f>
        <v>(2013,'Atlantic',42),</v>
      </c>
      <c r="B43" t="str">
        <f>"("&amp;$A15&amp;",'"&amp;C$9&amp;"',"&amp;IF(LEN(C15)&gt;0,C15,"NULL")&amp;")"&amp;IF(LEN($A16)+LEN(D$9)&gt;0,",",";")</f>
        <v>(2013,'Bergen',67),</v>
      </c>
      <c r="C43" t="str">
        <f>"("&amp;$A15&amp;",'"&amp;D$9&amp;"',"&amp;IF(LEN(D15)&gt;0,D15,"NULL")&amp;")"&amp;IF(LEN($A16)+LEN(E$9)&gt;0,",",";")</f>
        <v>(2013,'Burlington',29),</v>
      </c>
      <c r="D43" t="str">
        <f>"("&amp;$A15&amp;",'"&amp;E$9&amp;"',"&amp;IF(LEN(E15)&gt;0,E15,"NULL")&amp;")"&amp;IF(LEN($A16)+LEN(F$9)&gt;0,",",";")</f>
        <v>(2013,'Camden',73),</v>
      </c>
      <c r="E43" t="str">
        <f>"("&amp;$A15&amp;",'"&amp;F$9&amp;"',"&amp;IF(LEN(F15)&gt;0,F15,"NULL")&amp;")"&amp;IF(LEN($A16)+LEN(G$9)&gt;0,",",";")</f>
        <v>(2013,'Cape May',NULL),</v>
      </c>
      <c r="F43" t="str">
        <f>"("&amp;$A15&amp;",'"&amp;G$9&amp;"',"&amp;IF(LEN(G15)&gt;0,G15,"NULL")&amp;")"&amp;IF(LEN($A16)+LEN(H$9)&gt;0,",",";")</f>
        <v>(2013,'Cumberland',17),</v>
      </c>
      <c r="G43" t="str">
        <f>"("&amp;$A15&amp;",'"&amp;H$9&amp;"',"&amp;IF(LEN(H15)&gt;0,H15,"NULL")&amp;")"&amp;IF(LEN($A16)+LEN(I$9)&gt;0,",",";")</f>
        <v>(2013,'Essex',290),</v>
      </c>
      <c r="H43" t="str">
        <f>"("&amp;$A15&amp;",'"&amp;I$9&amp;"',"&amp;IF(LEN(I15)&gt;0,I15,"NULL")&amp;")"&amp;IF(LEN($A16)+LEN(J$9)&gt;0,",",";")</f>
        <v>(2013,'Gloucester',14),</v>
      </c>
      <c r="I43" t="str">
        <f>"("&amp;$A15&amp;",'"&amp;J$9&amp;"',"&amp;IF(LEN(J15)&gt;0,J15,"NULL")&amp;")"&amp;IF(LEN($A16)+LEN(K$9)&gt;0,",",";")</f>
        <v>(2013,'Hudson',179),</v>
      </c>
      <c r="J43" t="str">
        <f>"("&amp;$A15&amp;",'"&amp;K$9&amp;"',"&amp;IF(LEN(K15)&gt;0,K15,"NULL")&amp;")"&amp;IF(LEN($A16)+LEN(L$9)&gt;0,",",";")</f>
        <v>(2013,'Hunterdon',7),</v>
      </c>
      <c r="K43" t="str">
        <f>"("&amp;$A15&amp;",'"&amp;L$9&amp;"',"&amp;IF(LEN(L15)&gt;0,L15,"NULL")&amp;")"&amp;IF(LEN($A16)+LEN(M$9)&gt;0,",",";")</f>
        <v>(2013,'Mercer',61),</v>
      </c>
      <c r="L43" t="str">
        <f>"("&amp;$A15&amp;",'"&amp;M$9&amp;"',"&amp;IF(LEN(M15)&gt;0,M15,"NULL")&amp;")"&amp;IF(LEN($A16)+LEN(N$9)&gt;0,",",";")</f>
        <v>(2013,'Middlesex',62),</v>
      </c>
      <c r="M43" t="str">
        <f>"("&amp;$A15&amp;",'"&amp;N$9&amp;"',"&amp;IF(LEN(N15)&gt;0,N15,"NULL")&amp;")"&amp;IF(LEN($A16)+LEN(O$9)&gt;0,",",";")</f>
        <v>(2013,'Monmouth',66),</v>
      </c>
      <c r="N43" t="str">
        <f>"("&amp;$A15&amp;",'"&amp;O$9&amp;"',"&amp;IF(LEN(O15)&gt;0,O15,"NULL")&amp;")"&amp;IF(LEN($A16)+LEN(P$9)&gt;0,",",";")</f>
        <v>(2013,'Morris',29),</v>
      </c>
      <c r="O43" t="str">
        <f>"("&amp;$A15&amp;",'"&amp;P$9&amp;"',"&amp;IF(LEN(P15)&gt;0,P15,"NULL")&amp;")"&amp;IF(LEN($A16)+LEN(Q$9)&gt;0,",",";")</f>
        <v>(2013,'Ocean',27),</v>
      </c>
      <c r="P43" t="str">
        <f>"("&amp;$A15&amp;",'"&amp;Q$9&amp;"',"&amp;IF(LEN(Q15)&gt;0,Q15,"NULL")&amp;")"&amp;IF(LEN($A16)+LEN(R$9)&gt;0,",",";")</f>
        <v>(2013,'Passaic',78),</v>
      </c>
      <c r="Q43" t="str">
        <f>"("&amp;$A15&amp;",'"&amp;R$9&amp;"',"&amp;IF(LEN(R15)&gt;0,R15,"NULL")&amp;")"&amp;IF(LEN($A16)+LEN(S$9)&gt;0,",",";")</f>
        <v>(2013,'Salem',10),</v>
      </c>
      <c r="R43" t="str">
        <f>"("&amp;$A15&amp;",'"&amp;S$9&amp;"',"&amp;IF(LEN(S15)&gt;0,S15,"NULL")&amp;")"&amp;IF(LEN($A16)+LEN(T$9)&gt;0,",",";")</f>
        <v>(2013,'Somerset',33),</v>
      </c>
      <c r="S43" t="str">
        <f>"("&amp;$A15&amp;",'"&amp;T$9&amp;"',"&amp;IF(LEN(T15)&gt;0,T15,"NULL")&amp;")"&amp;IF(LEN($A16)+LEN(U$9)&gt;0,",",";")</f>
        <v>(2013,'Sussex',6),</v>
      </c>
      <c r="T43" t="str">
        <f>"("&amp;$A15&amp;",'"&amp;U$9&amp;"',"&amp;IF(LEN(U15)&gt;0,U15,"NULL")&amp;")"&amp;IF(LEN($A16)+LEN(V$9)&gt;0,",",";")</f>
        <v>(2013,'Union',94),</v>
      </c>
      <c r="U43" t="str">
        <f>"("&amp;$A15&amp;",'"&amp;V$9&amp;"',"&amp;IF(LEN(V15)&gt;0,V15,"NULL")&amp;")"&amp;IF(LEN($A16)+LEN(W$9)&gt;0,",",";")</f>
        <v>(2013,'Warren',NULL),</v>
      </c>
    </row>
    <row r="44" spans="1:21" x14ac:dyDescent="0.35">
      <c r="A44" t="str">
        <f>"("&amp;$A16&amp;",'"&amp;B$9&amp;"',"&amp;IF(LEN(B16)&gt;0,B16,"NULL")&amp;")"&amp;IF(LEN($A17)+LEN(C$9)&gt;0,",",";")</f>
        <v>(2014,'Atlantic',33),</v>
      </c>
      <c r="B44" t="str">
        <f>"("&amp;$A16&amp;",'"&amp;C$9&amp;"',"&amp;IF(LEN(C16)&gt;0,C16,"NULL")&amp;")"&amp;IF(LEN($A17)+LEN(D$9)&gt;0,",",";")</f>
        <v>(2014,'Bergen',67),</v>
      </c>
      <c r="C44" t="str">
        <f>"("&amp;$A16&amp;",'"&amp;D$9&amp;"',"&amp;IF(LEN(D16)&gt;0,D16,"NULL")&amp;")"&amp;IF(LEN($A17)+LEN(E$9)&gt;0,",",";")</f>
        <v>(2014,'Burlington',41),</v>
      </c>
      <c r="D44" t="str">
        <f>"("&amp;$A16&amp;",'"&amp;E$9&amp;"',"&amp;IF(LEN(E16)&gt;0,E16,"NULL")&amp;")"&amp;IF(LEN($A17)+LEN(F$9)&gt;0,",",";")</f>
        <v>(2014,'Camden',74),</v>
      </c>
      <c r="E44" t="str">
        <f>"("&amp;$A16&amp;",'"&amp;F$9&amp;"',"&amp;IF(LEN(F16)&gt;0,F16,"NULL")&amp;")"&amp;IF(LEN($A17)+LEN(G$9)&gt;0,",",";")</f>
        <v>(2014,'Cape May',NULL),</v>
      </c>
      <c r="F44" t="str">
        <f>"("&amp;$A16&amp;",'"&amp;G$9&amp;"',"&amp;IF(LEN(G16)&gt;0,G16,"NULL")&amp;")"&amp;IF(LEN($A17)+LEN(H$9)&gt;0,",",";")</f>
        <v>(2014,'Cumberland',18),</v>
      </c>
      <c r="G44" t="str">
        <f>"("&amp;$A16&amp;",'"&amp;H$9&amp;"',"&amp;IF(LEN(H16)&gt;0,H16,"NULL")&amp;")"&amp;IF(LEN($A17)+LEN(I$9)&gt;0,",",";")</f>
        <v>(2014,'Essex',313),</v>
      </c>
      <c r="H44" t="str">
        <f>"("&amp;$A16&amp;",'"&amp;I$9&amp;"',"&amp;IF(LEN(I16)&gt;0,I16,"NULL")&amp;")"&amp;IF(LEN($A17)+LEN(J$9)&gt;0,",",";")</f>
        <v>(2014,'Gloucester',14),</v>
      </c>
      <c r="I44" t="str">
        <f>"("&amp;$A16&amp;",'"&amp;J$9&amp;"',"&amp;IF(LEN(J16)&gt;0,J16,"NULL")&amp;")"&amp;IF(LEN($A17)+LEN(K$9)&gt;0,",",";")</f>
        <v>(2014,'Hudson',189),</v>
      </c>
      <c r="J44" t="str">
        <f>"("&amp;$A16&amp;",'"&amp;K$9&amp;"',"&amp;IF(LEN(K16)&gt;0,K16,"NULL")&amp;")"&amp;IF(LEN($A17)+LEN(L$9)&gt;0,",",";")</f>
        <v>(2014,'Hunterdon',14),</v>
      </c>
      <c r="K44" t="str">
        <f>"("&amp;$A16&amp;",'"&amp;L$9&amp;"',"&amp;IF(LEN(L16)&gt;0,L16,"NULL")&amp;")"&amp;IF(LEN($A17)+LEN(M$9)&gt;0,",",";")</f>
        <v>(2014,'Mercer',65),</v>
      </c>
      <c r="L44" t="str">
        <f>"("&amp;$A16&amp;",'"&amp;M$9&amp;"',"&amp;IF(LEN(M16)&gt;0,M16,"NULL")&amp;")"&amp;IF(LEN($A17)+LEN(N$9)&gt;0,",",";")</f>
        <v>(2014,'Middlesex',65),</v>
      </c>
      <c r="M44" t="str">
        <f>"("&amp;$A16&amp;",'"&amp;N$9&amp;"',"&amp;IF(LEN(N16)&gt;0,N16,"NULL")&amp;")"&amp;IF(LEN($A17)+LEN(O$9)&gt;0,",",";")</f>
        <v>(2014,'Monmouth',43),</v>
      </c>
      <c r="N44" t="str">
        <f>"("&amp;$A16&amp;",'"&amp;O$9&amp;"',"&amp;IF(LEN(O16)&gt;0,O16,"NULL")&amp;")"&amp;IF(LEN($A17)+LEN(P$9)&gt;0,",",";")</f>
        <v>(2014,'Morris',22),</v>
      </c>
      <c r="O44" t="str">
        <f>"("&amp;$A16&amp;",'"&amp;P$9&amp;"',"&amp;IF(LEN(P16)&gt;0,P16,"NULL")&amp;")"&amp;IF(LEN($A17)+LEN(Q$9)&gt;0,",",";")</f>
        <v>(2014,'Ocean',29),</v>
      </c>
      <c r="P44" t="str">
        <f>"("&amp;$A16&amp;",'"&amp;Q$9&amp;"',"&amp;IF(LEN(Q16)&gt;0,Q16,"NULL")&amp;")"&amp;IF(LEN($A17)+LEN(R$9)&gt;0,",",";")</f>
        <v>(2014,'Passaic',98),</v>
      </c>
      <c r="Q44" t="str">
        <f>"("&amp;$A16&amp;",'"&amp;R$9&amp;"',"&amp;IF(LEN(R16)&gt;0,R16,"NULL")&amp;")"&amp;IF(LEN($A17)+LEN(S$9)&gt;0,",",";")</f>
        <v>(2014,'Salem',NULL),</v>
      </c>
      <c r="R44" t="str">
        <f>"("&amp;$A16&amp;",'"&amp;S$9&amp;"',"&amp;IF(LEN(S16)&gt;0,S16,"NULL")&amp;")"&amp;IF(LEN($A17)+LEN(T$9)&gt;0,",",";")</f>
        <v>(2014,'Somerset',38),</v>
      </c>
      <c r="S44" t="str">
        <f>"("&amp;$A16&amp;",'"&amp;T$9&amp;"',"&amp;IF(LEN(T16)&gt;0,T16,"NULL")&amp;")"&amp;IF(LEN($A17)+LEN(U$9)&gt;0,",",";")</f>
        <v>(2014,'Sussex',5),</v>
      </c>
      <c r="T44" t="str">
        <f>"("&amp;$A16&amp;",'"&amp;U$9&amp;"',"&amp;IF(LEN(U16)&gt;0,U16,"NULL")&amp;")"&amp;IF(LEN($A17)+LEN(V$9)&gt;0,",",";")</f>
        <v>(2014,'Union',91),</v>
      </c>
      <c r="U44" t="str">
        <f>"("&amp;$A16&amp;",'"&amp;V$9&amp;"',"&amp;IF(LEN(V16)&gt;0,V16,"NULL")&amp;")"&amp;IF(LEN($A17)+LEN(W$9)&gt;0,",",";")</f>
        <v>(2014,'Warren',NULL),</v>
      </c>
    </row>
    <row r="45" spans="1:21" x14ac:dyDescent="0.35">
      <c r="A45" t="str">
        <f>"("&amp;$A17&amp;",'"&amp;B$9&amp;"',"&amp;IF(LEN(B17)&gt;0,B17,"NULL")&amp;")"&amp;IF(LEN($A18)+LEN(C$9)&gt;0,",",";")</f>
        <v>(2015,'Atlantic',50),</v>
      </c>
      <c r="B45" t="str">
        <f>"("&amp;$A17&amp;",'"&amp;C$9&amp;"',"&amp;IF(LEN(C17)&gt;0,C17,"NULL")&amp;")"&amp;IF(LEN($A18)+LEN(D$9)&gt;0,",",";")</f>
        <v>(2015,'Bergen',69),</v>
      </c>
      <c r="C45" t="str">
        <f>"("&amp;$A17&amp;",'"&amp;D$9&amp;"',"&amp;IF(LEN(D17)&gt;0,D17,"NULL")&amp;")"&amp;IF(LEN($A18)+LEN(E$9)&gt;0,",",";")</f>
        <v>(2015,'Burlington',45),</v>
      </c>
      <c r="D45" t="str">
        <f>"("&amp;$A17&amp;",'"&amp;E$9&amp;"',"&amp;IF(LEN(E17)&gt;0,E17,"NULL")&amp;")"&amp;IF(LEN($A18)+LEN(F$9)&gt;0,",",";")</f>
        <v>(2015,'Camden',70),</v>
      </c>
      <c r="E45" t="str">
        <f>"("&amp;$A17&amp;",'"&amp;F$9&amp;"',"&amp;IF(LEN(F17)&gt;0,F17,"NULL")&amp;")"&amp;IF(LEN($A18)+LEN(G$9)&gt;0,",",";")</f>
        <v>(2015,'Cape May',6),</v>
      </c>
      <c r="F45" t="str">
        <f>"("&amp;$A17&amp;",'"&amp;G$9&amp;"',"&amp;IF(LEN(G17)&gt;0,G17,"NULL")&amp;")"&amp;IF(LEN($A18)+LEN(H$9)&gt;0,",",";")</f>
        <v>(2015,'Cumberland',19),</v>
      </c>
      <c r="G45" t="str">
        <f>"("&amp;$A17&amp;",'"&amp;H$9&amp;"',"&amp;IF(LEN(H17)&gt;0,H17,"NULL")&amp;")"&amp;IF(LEN($A18)+LEN(I$9)&gt;0,",",";")</f>
        <v>(2015,'Essex',320),</v>
      </c>
      <c r="H45" t="str">
        <f>"("&amp;$A17&amp;",'"&amp;I$9&amp;"',"&amp;IF(LEN(I17)&gt;0,I17,"NULL")&amp;")"&amp;IF(LEN($A18)+LEN(J$9)&gt;0,",",";")</f>
        <v>(2015,'Gloucester',9),</v>
      </c>
      <c r="I45" t="str">
        <f>"("&amp;$A17&amp;",'"&amp;J$9&amp;"',"&amp;IF(LEN(J17)&gt;0,J17,"NULL")&amp;")"&amp;IF(LEN($A18)+LEN(K$9)&gt;0,",",";")</f>
        <v>(2015,'Hudson',168),</v>
      </c>
      <c r="J45" t="str">
        <f>"("&amp;$A17&amp;",'"&amp;K$9&amp;"',"&amp;IF(LEN(K17)&gt;0,K17,"NULL")&amp;")"&amp;IF(LEN($A18)+LEN(L$9)&gt;0,",",";")</f>
        <v>(2015,'Hunterdon',7),</v>
      </c>
      <c r="K45" t="str">
        <f>"("&amp;$A17&amp;",'"&amp;L$9&amp;"',"&amp;IF(LEN(L17)&gt;0,L17,"NULL")&amp;")"&amp;IF(LEN($A18)+LEN(M$9)&gt;0,",",";")</f>
        <v>(2015,'Mercer',59),</v>
      </c>
      <c r="L45" t="str">
        <f>"("&amp;$A17&amp;",'"&amp;M$9&amp;"',"&amp;IF(LEN(M17)&gt;0,M17,"NULL")&amp;")"&amp;IF(LEN($A18)+LEN(N$9)&gt;0,",",";")</f>
        <v>(2015,'Middlesex',84),</v>
      </c>
      <c r="M45" t="str">
        <f>"("&amp;$A17&amp;",'"&amp;N$9&amp;"',"&amp;IF(LEN(N17)&gt;0,N17,"NULL")&amp;")"&amp;IF(LEN($A18)+LEN(O$9)&gt;0,",",";")</f>
        <v>(2015,'Monmouth',32),</v>
      </c>
      <c r="N45" t="str">
        <f>"("&amp;$A17&amp;",'"&amp;O$9&amp;"',"&amp;IF(LEN(O17)&gt;0,O17,"NULL")&amp;")"&amp;IF(LEN($A18)+LEN(P$9)&gt;0,",",";")</f>
        <v>(2015,'Morris',25),</v>
      </c>
      <c r="O45" t="str">
        <f>"("&amp;$A17&amp;",'"&amp;P$9&amp;"',"&amp;IF(LEN(P17)&gt;0,P17,"NULL")&amp;")"&amp;IF(LEN($A18)+LEN(Q$9)&gt;0,",",";")</f>
        <v>(2015,'Ocean',21),</v>
      </c>
      <c r="P45" t="str">
        <f>"("&amp;$A17&amp;",'"&amp;Q$9&amp;"',"&amp;IF(LEN(Q17)&gt;0,Q17,"NULL")&amp;")"&amp;IF(LEN($A18)+LEN(R$9)&gt;0,",",";")</f>
        <v>(2015,'Passaic',74),</v>
      </c>
      <c r="Q45" t="str">
        <f>"("&amp;$A17&amp;",'"&amp;R$9&amp;"',"&amp;IF(LEN(R17)&gt;0,R17,"NULL")&amp;")"&amp;IF(LEN($A18)+LEN(S$9)&gt;0,",",";")</f>
        <v>(2015,'Salem',NULL),</v>
      </c>
      <c r="R45" t="str">
        <f>"("&amp;$A17&amp;",'"&amp;S$9&amp;"',"&amp;IF(LEN(S17)&gt;0,S17,"NULL")&amp;")"&amp;IF(LEN($A18)+LEN(T$9)&gt;0,",",";")</f>
        <v>(2015,'Somerset',34),</v>
      </c>
      <c r="S45" t="str">
        <f>"("&amp;$A17&amp;",'"&amp;T$9&amp;"',"&amp;IF(LEN(T17)&gt;0,T17,"NULL")&amp;")"&amp;IF(LEN($A18)+LEN(U$9)&gt;0,",",";")</f>
        <v>(2015,'Sussex',NULL),</v>
      </c>
      <c r="T45" t="str">
        <f>"("&amp;$A17&amp;",'"&amp;U$9&amp;"',"&amp;IF(LEN(U17)&gt;0,U17,"NULL")&amp;")"&amp;IF(LEN($A18)+LEN(V$9)&gt;0,",",";")</f>
        <v>(2015,'Union',68),</v>
      </c>
      <c r="U45" t="str">
        <f>"("&amp;$A17&amp;",'"&amp;V$9&amp;"',"&amp;IF(LEN(V17)&gt;0,V17,"NULL")&amp;")"&amp;IF(LEN($A18)+LEN(W$9)&gt;0,",",";")</f>
        <v>(2015,'Warren',6),</v>
      </c>
    </row>
    <row r="46" spans="1:21" x14ac:dyDescent="0.35">
      <c r="A46" t="str">
        <f>"("&amp;$A18&amp;",'"&amp;B$9&amp;"',"&amp;IF(LEN(B18)&gt;0,B18,"NULL")&amp;")"&amp;IF(LEN($A19)+LEN(C$9)&gt;0,",",";")</f>
        <v>(2016,'Atlantic',45),</v>
      </c>
      <c r="B46" t="str">
        <f>"("&amp;$A18&amp;",'"&amp;C$9&amp;"',"&amp;IF(LEN(C18)&gt;0,C18,"NULL")&amp;")"&amp;IF(LEN($A19)+LEN(D$9)&gt;0,",",";")</f>
        <v>(2016,'Bergen',69),</v>
      </c>
      <c r="C46" t="str">
        <f>"("&amp;$A18&amp;",'"&amp;D$9&amp;"',"&amp;IF(LEN(D18)&gt;0,D18,"NULL")&amp;")"&amp;IF(LEN($A19)+LEN(E$9)&gt;0,",",";")</f>
        <v>(2016,'Burlington',29),</v>
      </c>
      <c r="D46" t="str">
        <f>"("&amp;$A18&amp;",'"&amp;E$9&amp;"',"&amp;IF(LEN(E18)&gt;0,E18,"NULL")&amp;")"&amp;IF(LEN($A19)+LEN(F$9)&gt;0,",",";")</f>
        <v>(2016,'Camden',61),</v>
      </c>
      <c r="E46" t="str">
        <f>"("&amp;$A18&amp;",'"&amp;F$9&amp;"',"&amp;IF(LEN(F18)&gt;0,F18,"NULL")&amp;")"&amp;IF(LEN($A19)+LEN(G$9)&gt;0,",",";")</f>
        <v>(2016,'Cape May',NULL),</v>
      </c>
      <c r="F46" t="str">
        <f>"("&amp;$A18&amp;",'"&amp;G$9&amp;"',"&amp;IF(LEN(G18)&gt;0,G18,"NULL")&amp;")"&amp;IF(LEN($A19)+LEN(H$9)&gt;0,",",";")</f>
        <v>(2016,'Cumberland',20),</v>
      </c>
      <c r="G46" t="str">
        <f>"("&amp;$A18&amp;",'"&amp;H$9&amp;"',"&amp;IF(LEN(H18)&gt;0,H18,"NULL")&amp;")"&amp;IF(LEN($A19)+LEN(I$9)&gt;0,",",";")</f>
        <v>(2016,'Essex',306),</v>
      </c>
      <c r="H46" t="str">
        <f>"("&amp;$A18&amp;",'"&amp;I$9&amp;"',"&amp;IF(LEN(I18)&gt;0,I18,"NULL")&amp;")"&amp;IF(LEN($A19)+LEN(J$9)&gt;0,",",";")</f>
        <v>(2016,'Gloucester',17),</v>
      </c>
      <c r="I46" t="str">
        <f>"("&amp;$A18&amp;",'"&amp;J$9&amp;"',"&amp;IF(LEN(J18)&gt;0,J18,"NULL")&amp;")"&amp;IF(LEN($A19)+LEN(K$9)&gt;0,",",";")</f>
        <v>(2016,'Hudson',171),</v>
      </c>
      <c r="J46" t="str">
        <f>"("&amp;$A18&amp;",'"&amp;K$9&amp;"',"&amp;IF(LEN(K18)&gt;0,K18,"NULL")&amp;")"&amp;IF(LEN($A19)+LEN(L$9)&gt;0,",",";")</f>
        <v>(2016,'Hunterdon',9),</v>
      </c>
      <c r="K46" t="str">
        <f>"("&amp;$A18&amp;",'"&amp;L$9&amp;"',"&amp;IF(LEN(L18)&gt;0,L18,"NULL")&amp;")"&amp;IF(LEN($A19)+LEN(M$9)&gt;0,",",";")</f>
        <v>(2016,'Mercer',57),</v>
      </c>
      <c r="L46" t="str">
        <f>"("&amp;$A18&amp;",'"&amp;M$9&amp;"',"&amp;IF(LEN(M18)&gt;0,M18,"NULL")&amp;")"&amp;IF(LEN($A19)+LEN(N$9)&gt;0,",",";")</f>
        <v>(2016,'Middlesex',82),</v>
      </c>
      <c r="M46" t="str">
        <f>"("&amp;$A18&amp;",'"&amp;N$9&amp;"',"&amp;IF(LEN(N18)&gt;0,N18,"NULL")&amp;")"&amp;IF(LEN($A19)+LEN(O$9)&gt;0,",",";")</f>
        <v>(2016,'Monmouth',54),</v>
      </c>
      <c r="N46" t="str">
        <f>"("&amp;$A18&amp;",'"&amp;O$9&amp;"',"&amp;IF(LEN(O18)&gt;0,O18,"NULL")&amp;")"&amp;IF(LEN($A19)+LEN(P$9)&gt;0,",",";")</f>
        <v>(2016,'Morris',34),</v>
      </c>
      <c r="O46" t="str">
        <f>"("&amp;$A18&amp;",'"&amp;P$9&amp;"',"&amp;IF(LEN(P18)&gt;0,P18,"NULL")&amp;")"&amp;IF(LEN($A19)+LEN(Q$9)&gt;0,",",";")</f>
        <v>(2016,'Ocean',17),</v>
      </c>
      <c r="P46" t="str">
        <f>"("&amp;$A18&amp;",'"&amp;Q$9&amp;"',"&amp;IF(LEN(Q18)&gt;0,Q18,"NULL")&amp;")"&amp;IF(LEN($A19)+LEN(R$9)&gt;0,",",";")</f>
        <v>(2016,'Passaic',82),</v>
      </c>
      <c r="Q46" t="str">
        <f>"("&amp;$A18&amp;",'"&amp;R$9&amp;"',"&amp;IF(LEN(R18)&gt;0,R18,"NULL")&amp;")"&amp;IF(LEN($A19)+LEN(S$9)&gt;0,",",";")</f>
        <v>(2016,'Salem',NULL),</v>
      </c>
      <c r="R46" t="str">
        <f>"("&amp;$A18&amp;",'"&amp;S$9&amp;"',"&amp;IF(LEN(S18)&gt;0,S18,"NULL")&amp;")"&amp;IF(LEN($A19)+LEN(T$9)&gt;0,",",";")</f>
        <v>(2016,'Somerset',33),</v>
      </c>
      <c r="S46" t="str">
        <f>"("&amp;$A18&amp;",'"&amp;T$9&amp;"',"&amp;IF(LEN(T18)&gt;0,T18,"NULL")&amp;")"&amp;IF(LEN($A19)+LEN(U$9)&gt;0,",",";")</f>
        <v>(2016,'Sussex',5),</v>
      </c>
      <c r="T46" t="str">
        <f>"("&amp;$A18&amp;",'"&amp;U$9&amp;"',"&amp;IF(LEN(U18)&gt;0,U18,"NULL")&amp;")"&amp;IF(LEN($A19)+LEN(V$9)&gt;0,",",";")</f>
        <v>(2016,'Union',67),</v>
      </c>
      <c r="U46" t="str">
        <f>"("&amp;$A18&amp;",'"&amp;V$9&amp;"',"&amp;IF(LEN(V18)&gt;0,V18,"NULL")&amp;")"&amp;IF(LEN($A19)+LEN(W$9)&gt;0,",",";")</f>
        <v>(2016,'Warren',NULL),</v>
      </c>
    </row>
    <row r="47" spans="1:21" x14ac:dyDescent="0.35">
      <c r="A47" t="str">
        <f>"("&amp;$A19&amp;",'"&amp;B$9&amp;"',"&amp;IF(LEN(B19)&gt;0,B19,"NULL")&amp;")"&amp;IF(LEN($A20)+LEN(C$9)&gt;0,",",";")</f>
        <v>(2017,'Atlantic',31),</v>
      </c>
      <c r="B47" t="str">
        <f>"("&amp;$A19&amp;",'"&amp;C$9&amp;"',"&amp;IF(LEN(C19)&gt;0,C19,"NULL")&amp;")"&amp;IF(LEN($A20)+LEN(D$9)&gt;0,",",";")</f>
        <v>(2017,'Bergen',47),</v>
      </c>
      <c r="C47" t="str">
        <f>"("&amp;$A19&amp;",'"&amp;D$9&amp;"',"&amp;IF(LEN(D19)&gt;0,D19,"NULL")&amp;")"&amp;IF(LEN($A20)+LEN(E$9)&gt;0,",",";")</f>
        <v>(2017,'Burlington',37),</v>
      </c>
      <c r="D47" t="str">
        <f>"("&amp;$A19&amp;",'"&amp;E$9&amp;"',"&amp;IF(LEN(E19)&gt;0,E19,"NULL")&amp;")"&amp;IF(LEN($A20)+LEN(F$9)&gt;0,",",";")</f>
        <v>(2017,'Camden',63),</v>
      </c>
      <c r="E47" t="str">
        <f>"("&amp;$A19&amp;",'"&amp;F$9&amp;"',"&amp;IF(LEN(F19)&gt;0,F19,"NULL")&amp;")"&amp;IF(LEN($A20)+LEN(G$9)&gt;0,",",";")</f>
        <v>(2017,'Cape May',NULL),</v>
      </c>
      <c r="F47" t="str">
        <f>"("&amp;$A19&amp;",'"&amp;G$9&amp;"',"&amp;IF(LEN(G19)&gt;0,G19,"NULL")&amp;")"&amp;IF(LEN($A20)+LEN(H$9)&gt;0,",",";")</f>
        <v>(2017,'Cumberland',29),</v>
      </c>
      <c r="G47" t="str">
        <f>"("&amp;$A19&amp;",'"&amp;H$9&amp;"',"&amp;IF(LEN(H19)&gt;0,H19,"NULL")&amp;")"&amp;IF(LEN($A20)+LEN(I$9)&gt;0,",",";")</f>
        <v>(2017,'Essex',309),</v>
      </c>
      <c r="H47" t="str">
        <f>"("&amp;$A19&amp;",'"&amp;I$9&amp;"',"&amp;IF(LEN(I19)&gt;0,I19,"NULL")&amp;")"&amp;IF(LEN($A20)+LEN(J$9)&gt;0,",",";")</f>
        <v>(2017,'Gloucester',15),</v>
      </c>
      <c r="I47" t="str">
        <f>"("&amp;$A19&amp;",'"&amp;J$9&amp;"',"&amp;IF(LEN(J19)&gt;0,J19,"NULL")&amp;")"&amp;IF(LEN($A20)+LEN(K$9)&gt;0,",",";")</f>
        <v>(2017,'Hudson',160),</v>
      </c>
      <c r="J47" t="str">
        <f>"("&amp;$A19&amp;",'"&amp;K$9&amp;"',"&amp;IF(LEN(K19)&gt;0,K19,"NULL")&amp;")"&amp;IF(LEN($A20)+LEN(L$9)&gt;0,",",";")</f>
        <v>(2017,'Hunterdon',NULL),</v>
      </c>
      <c r="K47" t="str">
        <f>"("&amp;$A19&amp;",'"&amp;L$9&amp;"',"&amp;IF(LEN(L19)&gt;0,L19,"NULL")&amp;")"&amp;IF(LEN($A20)+LEN(M$9)&gt;0,",",";")</f>
        <v>(2017,'Mercer',47),</v>
      </c>
      <c r="L47" t="str">
        <f>"("&amp;$A19&amp;",'"&amp;M$9&amp;"',"&amp;IF(LEN(M19)&gt;0,M19,"NULL")&amp;")"&amp;IF(LEN($A20)+LEN(N$9)&gt;0,",",";")</f>
        <v>(2017,'Middlesex',86),</v>
      </c>
      <c r="M47" t="str">
        <f>"("&amp;$A19&amp;",'"&amp;N$9&amp;"',"&amp;IF(LEN(N19)&gt;0,N19,"NULL")&amp;")"&amp;IF(LEN($A20)+LEN(O$9)&gt;0,",",";")</f>
        <v>(2017,'Monmouth',43),</v>
      </c>
      <c r="N47" t="str">
        <f>"("&amp;$A19&amp;",'"&amp;O$9&amp;"',"&amp;IF(LEN(O19)&gt;0,O19,"NULL")&amp;")"&amp;IF(LEN($A20)+LEN(P$9)&gt;0,",",";")</f>
        <v>(2017,'Morris',30),</v>
      </c>
      <c r="O47" t="str">
        <f>"("&amp;$A19&amp;",'"&amp;P$9&amp;"',"&amp;IF(LEN(P19)&gt;0,P19,"NULL")&amp;")"&amp;IF(LEN($A20)+LEN(Q$9)&gt;0,",",";")</f>
        <v>(2017,'Ocean',24),</v>
      </c>
      <c r="P47" t="str">
        <f>"("&amp;$A19&amp;",'"&amp;Q$9&amp;"',"&amp;IF(LEN(Q19)&gt;0,Q19,"NULL")&amp;")"&amp;IF(LEN($A20)+LEN(R$9)&gt;0,",",";")</f>
        <v>(2017,'Passaic',54),</v>
      </c>
      <c r="Q47" t="str">
        <f>"("&amp;$A19&amp;",'"&amp;R$9&amp;"',"&amp;IF(LEN(R19)&gt;0,R19,"NULL")&amp;")"&amp;IF(LEN($A20)+LEN(S$9)&gt;0,",",";")</f>
        <v>(2017,'Salem',0),</v>
      </c>
      <c r="R47" t="str">
        <f>"("&amp;$A19&amp;",'"&amp;S$9&amp;"',"&amp;IF(LEN(S19)&gt;0,S19,"NULL")&amp;")"&amp;IF(LEN($A20)+LEN(T$9)&gt;0,",",";")</f>
        <v>(2017,'Somerset',24),</v>
      </c>
      <c r="S47" t="str">
        <f>"("&amp;$A19&amp;",'"&amp;T$9&amp;"',"&amp;IF(LEN(T19)&gt;0,T19,"NULL")&amp;")"&amp;IF(LEN($A20)+LEN(U$9)&gt;0,",",";")</f>
        <v>(2017,'Sussex',6),</v>
      </c>
      <c r="T47" t="str">
        <f>"("&amp;$A19&amp;",'"&amp;U$9&amp;"',"&amp;IF(LEN(U19)&gt;0,U19,"NULL")&amp;")"&amp;IF(LEN($A20)+LEN(V$9)&gt;0,",",";")</f>
        <v>(2017,'Union',90),</v>
      </c>
      <c r="U47" t="str">
        <f>"("&amp;$A19&amp;",'"&amp;V$9&amp;"',"&amp;IF(LEN(V19)&gt;0,V19,"NULL")&amp;")"&amp;IF(LEN($A20)+LEN(W$9)&gt;0,",",";")</f>
        <v>(2017,'Warren',NULL),</v>
      </c>
    </row>
    <row r="48" spans="1:21" x14ac:dyDescent="0.35">
      <c r="A48" t="str">
        <f>"("&amp;$A20&amp;",'"&amp;B$9&amp;"',"&amp;IF(LEN(B20)&gt;0,B20,"NULL")&amp;")"&amp;IF(LEN($A21)+LEN(C$9)&gt;0,",",";")</f>
        <v>(2018,'Atlantic',33),</v>
      </c>
      <c r="B48" t="str">
        <f>"("&amp;$A20&amp;",'"&amp;C$9&amp;"',"&amp;IF(LEN(C20)&gt;0,C20,"NULL")&amp;")"&amp;IF(LEN($A21)+LEN(D$9)&gt;0,",",";")</f>
        <v>(2018,'Bergen',56),</v>
      </c>
      <c r="C48" t="str">
        <f>"("&amp;$A20&amp;",'"&amp;D$9&amp;"',"&amp;IF(LEN(D20)&gt;0,D20,"NULL")&amp;")"&amp;IF(LEN($A21)+LEN(E$9)&gt;0,",",";")</f>
        <v>(2018,'Burlington',35),</v>
      </c>
      <c r="D48" t="str">
        <f>"("&amp;$A20&amp;",'"&amp;E$9&amp;"',"&amp;IF(LEN(E20)&gt;0,E20,"NULL")&amp;")"&amp;IF(LEN($A21)+LEN(F$9)&gt;0,",",";")</f>
        <v>(2018,'Camden',49),</v>
      </c>
      <c r="E48" t="str">
        <f>"("&amp;$A20&amp;",'"&amp;F$9&amp;"',"&amp;IF(LEN(F20)&gt;0,F20,"NULL")&amp;")"&amp;IF(LEN($A21)+LEN(G$9)&gt;0,",",";")</f>
        <v>(2018,'Cape May',NULL),</v>
      </c>
      <c r="F48" t="str">
        <f>"("&amp;$A20&amp;",'"&amp;G$9&amp;"',"&amp;IF(LEN(G20)&gt;0,G20,"NULL")&amp;")"&amp;IF(LEN($A21)+LEN(H$9)&gt;0,",",";")</f>
        <v>(2018,'Cumberland',16),</v>
      </c>
      <c r="G48" t="str">
        <f>"("&amp;$A20&amp;",'"&amp;H$9&amp;"',"&amp;IF(LEN(H20)&gt;0,H20,"NULL")&amp;")"&amp;IF(LEN($A21)+LEN(I$9)&gt;0,",",";")</f>
        <v>(2018,'Essex',259),</v>
      </c>
      <c r="H48" t="str">
        <f>"("&amp;$A20&amp;",'"&amp;I$9&amp;"',"&amp;IF(LEN(I20)&gt;0,I20,"NULL")&amp;")"&amp;IF(LEN($A21)+LEN(J$9)&gt;0,",",";")</f>
        <v>(2018,'Gloucester',16),</v>
      </c>
      <c r="I48" t="str">
        <f>"("&amp;$A20&amp;",'"&amp;J$9&amp;"',"&amp;IF(LEN(J20)&gt;0,J20,"NULL")&amp;")"&amp;IF(LEN($A21)+LEN(K$9)&gt;0,",",";")</f>
        <v>(2018,'Hudson',164),</v>
      </c>
      <c r="J48" t="str">
        <f>"("&amp;$A20&amp;",'"&amp;K$9&amp;"',"&amp;IF(LEN(K20)&gt;0,K20,"NULL")&amp;")"&amp;IF(LEN($A21)+LEN(L$9)&gt;0,",",";")</f>
        <v>(2018,'Hunterdon',NULL),</v>
      </c>
      <c r="K48" t="str">
        <f>"("&amp;$A20&amp;",'"&amp;L$9&amp;"',"&amp;IF(LEN(L20)&gt;0,L20,"NULL")&amp;")"&amp;IF(LEN($A21)+LEN(M$9)&gt;0,",",";")</f>
        <v>(2018,'Mercer',40),</v>
      </c>
      <c r="L48" t="str">
        <f>"("&amp;$A20&amp;",'"&amp;M$9&amp;"',"&amp;IF(LEN(M20)&gt;0,M20,"NULL")&amp;")"&amp;IF(LEN($A21)+LEN(N$9)&gt;0,",",";")</f>
        <v>(2018,'Middlesex',78),</v>
      </c>
      <c r="M48" t="str">
        <f>"("&amp;$A20&amp;",'"&amp;N$9&amp;"',"&amp;IF(LEN(N20)&gt;0,N20,"NULL")&amp;")"&amp;IF(LEN($A21)+LEN(O$9)&gt;0,",",";")</f>
        <v>(2018,'Monmouth',24),</v>
      </c>
      <c r="N48" t="str">
        <f>"("&amp;$A20&amp;",'"&amp;O$9&amp;"',"&amp;IF(LEN(O20)&gt;0,O20,"NULL")&amp;")"&amp;IF(LEN($A21)+LEN(P$9)&gt;0,",",";")</f>
        <v>(2018,'Morris',27),</v>
      </c>
      <c r="O48" t="str">
        <f>"("&amp;$A20&amp;",'"&amp;P$9&amp;"',"&amp;IF(LEN(P20)&gt;0,P20,"NULL")&amp;")"&amp;IF(LEN($A21)+LEN(Q$9)&gt;0,",",";")</f>
        <v>(2018,'Ocean',18),</v>
      </c>
      <c r="P48" t="str">
        <f>"("&amp;$A20&amp;",'"&amp;Q$9&amp;"',"&amp;IF(LEN(Q20)&gt;0,Q20,"NULL")&amp;")"&amp;IF(LEN($A21)+LEN(R$9)&gt;0,",",";")</f>
        <v>(2018,'Passaic',77),</v>
      </c>
      <c r="Q48" t="str">
        <f>"("&amp;$A20&amp;",'"&amp;R$9&amp;"',"&amp;IF(LEN(R20)&gt;0,R20,"NULL")&amp;")"&amp;IF(LEN($A21)+LEN(S$9)&gt;0,",",";")</f>
        <v>(2018,'Salem',NULL),</v>
      </c>
      <c r="R48" t="str">
        <f>"("&amp;$A20&amp;",'"&amp;S$9&amp;"',"&amp;IF(LEN(S20)&gt;0,S20,"NULL")&amp;")"&amp;IF(LEN($A21)+LEN(T$9)&gt;0,",",";")</f>
        <v>(2018,'Somerset',30),</v>
      </c>
      <c r="S48" t="str">
        <f>"("&amp;$A20&amp;",'"&amp;T$9&amp;"',"&amp;IF(LEN(T20)&gt;0,T20,"NULL")&amp;")"&amp;IF(LEN($A21)+LEN(U$9)&gt;0,",",";")</f>
        <v>(2018,'Sussex',7),</v>
      </c>
      <c r="T48" t="str">
        <f>"("&amp;$A20&amp;",'"&amp;U$9&amp;"',"&amp;IF(LEN(U20)&gt;0,U20,"NULL")&amp;")"&amp;IF(LEN($A21)+LEN(V$9)&gt;0,",",";")</f>
        <v>(2018,'Union',70),</v>
      </c>
      <c r="U48" t="str">
        <f>"("&amp;$A20&amp;",'"&amp;V$9&amp;"',"&amp;IF(LEN(V20)&gt;0,V20,"NULL")&amp;")"&amp;IF(LEN($A21)+LEN(W$9)&gt;0,",",";")</f>
        <v>(2018,'Warren',NULL),</v>
      </c>
    </row>
    <row r="49" spans="1:21" x14ac:dyDescent="0.35">
      <c r="A49" t="str">
        <f>"("&amp;$A21&amp;",'"&amp;B$9&amp;"',"&amp;IF(LEN(B21)&gt;0,B21,"NULL")&amp;")"&amp;IF(LEN($A22)+LEN(C$9)&gt;0,",",";")</f>
        <v>(2019,'Atlantic',34),</v>
      </c>
      <c r="B49" t="str">
        <f>"("&amp;$A21&amp;",'"&amp;C$9&amp;"',"&amp;IF(LEN(C21)&gt;0,C21,"NULL")&amp;")"&amp;IF(LEN($A22)+LEN(D$9)&gt;0,",",";")</f>
        <v>(2019,'Bergen',61),</v>
      </c>
      <c r="C49" t="str">
        <f>"("&amp;$A21&amp;",'"&amp;D$9&amp;"',"&amp;IF(LEN(D21)&gt;0,D21,"NULL")&amp;")"&amp;IF(LEN($A22)+LEN(E$9)&gt;0,",",";")</f>
        <v>(2019,'Burlington',37),</v>
      </c>
      <c r="D49" t="str">
        <f>"("&amp;$A21&amp;",'"&amp;E$9&amp;"',"&amp;IF(LEN(E21)&gt;0,E21,"NULL")&amp;")"&amp;IF(LEN($A22)+LEN(F$9)&gt;0,",",";")</f>
        <v>(2019,'Camden',64),</v>
      </c>
      <c r="E49" t="str">
        <f>"("&amp;$A21&amp;",'"&amp;F$9&amp;"',"&amp;IF(LEN(F21)&gt;0,F21,"NULL")&amp;")"&amp;IF(LEN($A22)+LEN(G$9)&gt;0,",",";")</f>
        <v>(2019,'Cape May',NULL),</v>
      </c>
      <c r="F49" t="str">
        <f>"("&amp;$A21&amp;",'"&amp;G$9&amp;"',"&amp;IF(LEN(G21)&gt;0,G21,"NULL")&amp;")"&amp;IF(LEN($A22)+LEN(H$9)&gt;0,",",";")</f>
        <v>(2019,'Cumberland',19),</v>
      </c>
      <c r="G49" t="str">
        <f>"("&amp;$A21&amp;",'"&amp;H$9&amp;"',"&amp;IF(LEN(H21)&gt;0,H21,"NULL")&amp;")"&amp;IF(LEN($A22)+LEN(I$9)&gt;0,",",";")</f>
        <v>(2019,'Essex',229),</v>
      </c>
      <c r="H49" t="str">
        <f>"("&amp;$A21&amp;",'"&amp;I$9&amp;"',"&amp;IF(LEN(I21)&gt;0,I21,"NULL")&amp;")"&amp;IF(LEN($A22)+LEN(J$9)&gt;0,",",";")</f>
        <v>(2019,'Gloucester',14),</v>
      </c>
      <c r="I49" t="str">
        <f>"("&amp;$A21&amp;",'"&amp;J$9&amp;"',"&amp;IF(LEN(J21)&gt;0,J21,"NULL")&amp;")"&amp;IF(LEN($A22)+LEN(K$9)&gt;0,",",";")</f>
        <v>(2019,'Hudson',147),</v>
      </c>
      <c r="J49" t="str">
        <f>"("&amp;$A21&amp;",'"&amp;K$9&amp;"',"&amp;IF(LEN(K21)&gt;0,K21,"NULL")&amp;")"&amp;IF(LEN($A22)+LEN(L$9)&gt;0,",",";")</f>
        <v>(2019,'Hunterdon',7),</v>
      </c>
      <c r="K49" t="str">
        <f>"("&amp;$A21&amp;",'"&amp;L$9&amp;"',"&amp;IF(LEN(L21)&gt;0,L21,"NULL")&amp;")"&amp;IF(LEN($A22)+LEN(M$9)&gt;0,",",";")</f>
        <v>(2019,'Mercer',55),</v>
      </c>
      <c r="L49" t="str">
        <f>"("&amp;$A21&amp;",'"&amp;M$9&amp;"',"&amp;IF(LEN(M21)&gt;0,M21,"NULL")&amp;")"&amp;IF(LEN($A22)+LEN(N$9)&gt;0,",",";")</f>
        <v>(2019,'Middlesex',72),</v>
      </c>
      <c r="M49" t="str">
        <f>"("&amp;$A21&amp;",'"&amp;N$9&amp;"',"&amp;IF(LEN(N21)&gt;0,N21,"NULL")&amp;")"&amp;IF(LEN($A22)+LEN(O$9)&gt;0,",",";")</f>
        <v>(2019,'Monmouth',62),</v>
      </c>
      <c r="N49" t="str">
        <f>"("&amp;$A21&amp;",'"&amp;O$9&amp;"',"&amp;IF(LEN(O21)&gt;0,O21,"NULL")&amp;")"&amp;IF(LEN($A22)+LEN(P$9)&gt;0,",",";")</f>
        <v>(2019,'Morris',22),</v>
      </c>
      <c r="O49" t="str">
        <f>"("&amp;$A21&amp;",'"&amp;P$9&amp;"',"&amp;IF(LEN(P21)&gt;0,P21,"NULL")&amp;")"&amp;IF(LEN($A22)+LEN(Q$9)&gt;0,",",";")</f>
        <v>(2019,'Ocean',31),</v>
      </c>
      <c r="P49" t="str">
        <f>"("&amp;$A21&amp;",'"&amp;Q$9&amp;"',"&amp;IF(LEN(Q21)&gt;0,Q21,"NULL")&amp;")"&amp;IF(LEN($A22)+LEN(R$9)&gt;0,",",";")</f>
        <v>(2019,'Passaic',87),</v>
      </c>
      <c r="Q49" t="str">
        <f>"("&amp;$A21&amp;",'"&amp;R$9&amp;"',"&amp;IF(LEN(R21)&gt;0,R21,"NULL")&amp;")"&amp;IF(LEN($A22)+LEN(S$9)&gt;0,",",";")</f>
        <v>(2019,'Salem',5),</v>
      </c>
      <c r="R49" t="str">
        <f>"("&amp;$A21&amp;",'"&amp;S$9&amp;"',"&amp;IF(LEN(S21)&gt;0,S21,"NULL")&amp;")"&amp;IF(LEN($A22)+LEN(T$9)&gt;0,",",";")</f>
        <v>(2019,'Somerset',26),</v>
      </c>
      <c r="S49" t="str">
        <f>"("&amp;$A21&amp;",'"&amp;T$9&amp;"',"&amp;IF(LEN(T21)&gt;0,T21,"NULL")&amp;")"&amp;IF(LEN($A22)+LEN(U$9)&gt;0,",",";")</f>
        <v>(2019,'Sussex',NULL),</v>
      </c>
      <c r="T49" t="str">
        <f>"("&amp;$A21&amp;",'"&amp;U$9&amp;"',"&amp;IF(LEN(U21)&gt;0,U21,"NULL")&amp;")"&amp;IF(LEN($A22)+LEN(V$9)&gt;0,",",";")</f>
        <v>(2019,'Union',92),</v>
      </c>
      <c r="U49" t="str">
        <f>"("&amp;$A21&amp;",'"&amp;V$9&amp;"',"&amp;IF(LEN(V21)&gt;0,V21,"NULL")&amp;")"&amp;IF(LEN($A22)+LEN(W$9)&gt;0,",",";")</f>
        <v>(2019,'Warren',NULL),</v>
      </c>
    </row>
    <row r="50" spans="1:21" x14ac:dyDescent="0.35">
      <c r="A50" t="str">
        <f>"("&amp;$A22&amp;",'"&amp;B$9&amp;"',"&amp;IF(LEN(B22)&gt;0,B22,"NULL")&amp;")"&amp;IF(LEN($A23)+LEN(C$9)&gt;0,",",";")</f>
        <v>(2020,'Atlantic',11),</v>
      </c>
      <c r="B50" t="str">
        <f>"("&amp;$A22&amp;",'"&amp;C$9&amp;"',"&amp;IF(LEN(C22)&gt;0,C22,"NULL")&amp;")"&amp;IF(LEN($A23)+LEN(D$9)&gt;0,",",";")</f>
        <v>(2020,'Bergen',46),</v>
      </c>
      <c r="C50" t="str">
        <f>"("&amp;$A22&amp;",'"&amp;D$9&amp;"',"&amp;IF(LEN(D22)&gt;0,D22,"NULL")&amp;")"&amp;IF(LEN($A23)+LEN(E$9)&gt;0,",",";")</f>
        <v>(2020,'Burlington',38),</v>
      </c>
      <c r="D50" t="str">
        <f>"("&amp;$A22&amp;",'"&amp;E$9&amp;"',"&amp;IF(LEN(E22)&gt;0,E22,"NULL")&amp;")"&amp;IF(LEN($A23)+LEN(F$9)&gt;0,",",";")</f>
        <v>(2020,'Camden',58),</v>
      </c>
      <c r="E50" t="str">
        <f>"("&amp;$A22&amp;",'"&amp;F$9&amp;"',"&amp;IF(LEN(F22)&gt;0,F22,"NULL")&amp;")"&amp;IF(LEN($A23)+LEN(G$9)&gt;0,",",";")</f>
        <v>(2020,'Cape May',NULL),</v>
      </c>
      <c r="F50" t="str">
        <f>"("&amp;$A22&amp;",'"&amp;G$9&amp;"',"&amp;IF(LEN(G22)&gt;0,G22,"NULL")&amp;")"&amp;IF(LEN($A23)+LEN(H$9)&gt;0,",",";")</f>
        <v>(2020,'Cumberland',11),</v>
      </c>
      <c r="G50" t="str">
        <f>"("&amp;$A22&amp;",'"&amp;H$9&amp;"',"&amp;IF(LEN(H22)&gt;0,H22,"NULL")&amp;")"&amp;IF(LEN($A23)+LEN(I$9)&gt;0,",",";")</f>
        <v>(2020,'Essex',200),</v>
      </c>
      <c r="H50" t="str">
        <f>"("&amp;$A22&amp;",'"&amp;I$9&amp;"',"&amp;IF(LEN(I22)&gt;0,I22,"NULL")&amp;")"&amp;IF(LEN($A23)+LEN(J$9)&gt;0,",",";")</f>
        <v>(2020,'Gloucester',8),</v>
      </c>
      <c r="I50" t="str">
        <f>"("&amp;$A22&amp;",'"&amp;J$9&amp;"',"&amp;IF(LEN(J22)&gt;0,J22,"NULL")&amp;")"&amp;IF(LEN($A23)+LEN(K$9)&gt;0,",",";")</f>
        <v>(2020,'Hudson',127),</v>
      </c>
      <c r="J50" t="str">
        <f>"("&amp;$A22&amp;",'"&amp;K$9&amp;"',"&amp;IF(LEN(K22)&gt;0,K22,"NULL")&amp;")"&amp;IF(LEN($A23)+LEN(L$9)&gt;0,",",";")</f>
        <v>(2020,'Hunterdon',NULL),</v>
      </c>
      <c r="K50" t="str">
        <f>"("&amp;$A22&amp;",'"&amp;L$9&amp;"',"&amp;IF(LEN(L22)&gt;0,L22,"NULL")&amp;")"&amp;IF(LEN($A23)+LEN(M$9)&gt;0,",",";")</f>
        <v>(2020,'Mercer',48),</v>
      </c>
      <c r="L50" t="str">
        <f>"("&amp;$A22&amp;",'"&amp;M$9&amp;"',"&amp;IF(LEN(M22)&gt;0,M22,"NULL")&amp;")"&amp;IF(LEN($A23)+LEN(N$9)&gt;0,",",";")</f>
        <v>(2020,'Middlesex',52),</v>
      </c>
      <c r="M50" t="str">
        <f>"("&amp;$A22&amp;",'"&amp;N$9&amp;"',"&amp;IF(LEN(N22)&gt;0,N22,"NULL")&amp;")"&amp;IF(LEN($A23)+LEN(O$9)&gt;0,",",";")</f>
        <v>(2020,'Monmouth',22),</v>
      </c>
      <c r="N50" t="str">
        <f>"("&amp;$A22&amp;",'"&amp;O$9&amp;"',"&amp;IF(LEN(O22)&gt;0,O22,"NULL")&amp;")"&amp;IF(LEN($A23)+LEN(P$9)&gt;0,",",";")</f>
        <v>(2020,'Morris',15),</v>
      </c>
      <c r="O50" t="str">
        <f>"("&amp;$A22&amp;",'"&amp;P$9&amp;"',"&amp;IF(LEN(P22)&gt;0,P22,"NULL")&amp;")"&amp;IF(LEN($A23)+LEN(Q$9)&gt;0,",",";")</f>
        <v>(2020,'Ocean',10),</v>
      </c>
      <c r="P50" t="str">
        <f>"("&amp;$A22&amp;",'"&amp;Q$9&amp;"',"&amp;IF(LEN(Q22)&gt;0,Q22,"NULL")&amp;")"&amp;IF(LEN($A23)+LEN(R$9)&gt;0,",",";")</f>
        <v>(2020,'Passaic',49),</v>
      </c>
      <c r="Q50" t="str">
        <f>"("&amp;$A22&amp;",'"&amp;R$9&amp;"',"&amp;IF(LEN(R22)&gt;0,R22,"NULL")&amp;")"&amp;IF(LEN($A23)+LEN(S$9)&gt;0,",",";")</f>
        <v>(2020,'Salem',6),</v>
      </c>
      <c r="R50" t="str">
        <f>"("&amp;$A22&amp;",'"&amp;S$9&amp;"',"&amp;IF(LEN(S22)&gt;0,S22,"NULL")&amp;")"&amp;IF(LEN($A23)+LEN(T$9)&gt;0,",",";")</f>
        <v>(2020,'Somerset',10),</v>
      </c>
      <c r="S50" t="str">
        <f>"("&amp;$A22&amp;",'"&amp;T$9&amp;"',"&amp;IF(LEN(T22)&gt;0,T22,"NULL")&amp;")"&amp;IF(LEN($A23)+LEN(U$9)&gt;0,",",";")</f>
        <v>(2020,'Sussex',5),</v>
      </c>
      <c r="T50" t="str">
        <f>"("&amp;$A22&amp;",'"&amp;U$9&amp;"',"&amp;IF(LEN(U22)&gt;0,U22,"NULL")&amp;")"&amp;IF(LEN($A23)+LEN(V$9)&gt;0,",",";")</f>
        <v>(2020,'Union',71),</v>
      </c>
      <c r="U50" t="str">
        <f>"("&amp;$A22&amp;",'"&amp;V$9&amp;"',"&amp;IF(LEN(V22)&gt;0,V22,"NULL")&amp;")"&amp;IF(LEN($A23)+LEN(W$9)&gt;0,",",";")</f>
        <v>(2020,'Warren',NULL),</v>
      </c>
    </row>
    <row r="51" spans="1:21" x14ac:dyDescent="0.35">
      <c r="A51" t="str">
        <f>"("&amp;$A23&amp;",'"&amp;B$9&amp;"',"&amp;IF(LEN(B23)&gt;0,B23,"NULL")&amp;")"&amp;IF(LEN($A24)+LEN(C$9)&gt;0,",",";")</f>
        <v>(2021,'Atlantic',31),</v>
      </c>
      <c r="B51" t="str">
        <f>"("&amp;$A23&amp;",'"&amp;C$9&amp;"',"&amp;IF(LEN(C23)&gt;0,C23,"NULL")&amp;")"&amp;IF(LEN($A24)+LEN(D$9)&gt;0,",",";")</f>
        <v>(2021,'Bergen',60),</v>
      </c>
      <c r="C51" t="str">
        <f>"("&amp;$A23&amp;",'"&amp;D$9&amp;"',"&amp;IF(LEN(D23)&gt;0,D23,"NULL")&amp;")"&amp;IF(LEN($A24)+LEN(E$9)&gt;0,",",";")</f>
        <v>(2021,'Burlington',50),</v>
      </c>
      <c r="D51" t="str">
        <f>"("&amp;$A23&amp;",'"&amp;E$9&amp;"',"&amp;IF(LEN(E23)&gt;0,E23,"NULL")&amp;")"&amp;IF(LEN($A24)+LEN(F$9)&gt;0,",",";")</f>
        <v>(2021,'Camden',90),</v>
      </c>
      <c r="E51" t="str">
        <f>"("&amp;$A23&amp;",'"&amp;F$9&amp;"',"&amp;IF(LEN(F23)&gt;0,F23,"NULL")&amp;")"&amp;IF(LEN($A24)+LEN(G$9)&gt;0,",",";")</f>
        <v>(2021,'Cape May',NULL),</v>
      </c>
      <c r="F51" t="str">
        <f>"("&amp;$A23&amp;",'"&amp;G$9&amp;"',"&amp;IF(LEN(G23)&gt;0,G23,"NULL")&amp;")"&amp;IF(LEN($A24)+LEN(H$9)&gt;0,",",";")</f>
        <v>(2021,'Cumberland',19),</v>
      </c>
      <c r="G51" t="str">
        <f>"("&amp;$A23&amp;",'"&amp;H$9&amp;"',"&amp;IF(LEN(H23)&gt;0,H23,"NULL")&amp;")"&amp;IF(LEN($A24)+LEN(I$9)&gt;0,",",";")</f>
        <v>(2021,'Essex',266),</v>
      </c>
      <c r="H51" t="str">
        <f>"("&amp;$A23&amp;",'"&amp;I$9&amp;"',"&amp;IF(LEN(I23)&gt;0,I23,"NULL")&amp;")"&amp;IF(LEN($A24)+LEN(J$9)&gt;0,",",";")</f>
        <v>(2021,'Gloucester',20),</v>
      </c>
      <c r="I51" t="str">
        <f>"("&amp;$A23&amp;",'"&amp;J$9&amp;"',"&amp;IF(LEN(J23)&gt;0,J23,"NULL")&amp;")"&amp;IF(LEN($A24)+LEN(K$9)&gt;0,",",";")</f>
        <v>(2021,'Hudson',149),</v>
      </c>
      <c r="J51" t="str">
        <f>"("&amp;$A23&amp;",'"&amp;K$9&amp;"',"&amp;IF(LEN(K23)&gt;0,K23,"NULL")&amp;")"&amp;IF(LEN($A24)+LEN(L$9)&gt;0,",",";")</f>
        <v>(2021,'Hunterdon',8),</v>
      </c>
      <c r="K51" t="str">
        <f>"("&amp;$A23&amp;",'"&amp;L$9&amp;"',"&amp;IF(LEN(L23)&gt;0,L23,"NULL")&amp;")"&amp;IF(LEN($A24)+LEN(M$9)&gt;0,",",";")</f>
        <v>(2021,'Mercer',54),</v>
      </c>
      <c r="L51" t="str">
        <f>"("&amp;$A23&amp;",'"&amp;M$9&amp;"',"&amp;IF(LEN(M23)&gt;0,M23,"NULL")&amp;")"&amp;IF(LEN($A24)+LEN(N$9)&gt;0,",",";")</f>
        <v>(2021,'Middlesex',81),</v>
      </c>
      <c r="M51" t="str">
        <f>"("&amp;$A23&amp;",'"&amp;N$9&amp;"',"&amp;IF(LEN(N23)&gt;0,N23,"NULL")&amp;")"&amp;IF(LEN($A24)+LEN(O$9)&gt;0,",",";")</f>
        <v>(2021,'Monmouth',44),</v>
      </c>
      <c r="N51" t="str">
        <f>"("&amp;$A23&amp;",'"&amp;O$9&amp;"',"&amp;IF(LEN(O23)&gt;0,O23,"NULL")&amp;")"&amp;IF(LEN($A24)+LEN(P$9)&gt;0,",",";")</f>
        <v>(2021,'Morris',31),</v>
      </c>
      <c r="O51" t="str">
        <f>"("&amp;$A23&amp;",'"&amp;P$9&amp;"',"&amp;IF(LEN(P23)&gt;0,P23,"NULL")&amp;")"&amp;IF(LEN($A24)+LEN(Q$9)&gt;0,",",";")</f>
        <v>(2021,'Ocean',24),</v>
      </c>
      <c r="P51" t="str">
        <f>"("&amp;$A23&amp;",'"&amp;Q$9&amp;"',"&amp;IF(LEN(Q23)&gt;0,Q23,"NULL")&amp;")"&amp;IF(LEN($A24)+LEN(R$9)&gt;0,",",";")</f>
        <v>(2021,'Passaic',77),</v>
      </c>
      <c r="Q51" t="str">
        <f>"("&amp;$A23&amp;",'"&amp;R$9&amp;"',"&amp;IF(LEN(R23)&gt;0,R23,"NULL")&amp;")"&amp;IF(LEN($A24)+LEN(S$9)&gt;0,",",";")</f>
        <v>(2021,'Salem',NULL),</v>
      </c>
      <c r="R51" t="str">
        <f>"("&amp;$A23&amp;",'"&amp;S$9&amp;"',"&amp;IF(LEN(S23)&gt;0,S23,"NULL")&amp;")"&amp;IF(LEN($A24)+LEN(T$9)&gt;0,",",";")</f>
        <v>(2021,'Somerset',25),</v>
      </c>
      <c r="S51" t="str">
        <f>"("&amp;$A23&amp;",'"&amp;T$9&amp;"',"&amp;IF(LEN(T23)&gt;0,T23,"NULL")&amp;")"&amp;IF(LEN($A24)+LEN(U$9)&gt;0,",",";")</f>
        <v>(2021,'Sussex',NULL),</v>
      </c>
      <c r="T51" t="str">
        <f>"("&amp;$A23&amp;",'"&amp;U$9&amp;"',"&amp;IF(LEN(U23)&gt;0,U23,"NULL")&amp;")"&amp;IF(LEN($A24)+LEN(V$9)&gt;0,",",";")</f>
        <v>(2021,'Union',96),</v>
      </c>
      <c r="U51" t="str">
        <f>"("&amp;$A23&amp;",'"&amp;V$9&amp;"',"&amp;IF(LEN(V23)&gt;0,V23,"NULL")&amp;")"&amp;IF(LEN($A24)+LEN(W$9)&gt;0,",",";")</f>
        <v>(2021,'Warren',NULL);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C261-B924-834D-8AE3-A7A24ACBD9B4}">
  <dimension ref="A1:V54"/>
  <sheetViews>
    <sheetView topLeftCell="A26" zoomScale="70" zoomScaleNormal="70" workbookViewId="0">
      <selection activeCell="A32" sqref="A32:U54"/>
    </sheetView>
  </sheetViews>
  <sheetFormatPr defaultColWidth="8.75" defaultRowHeight="18" x14ac:dyDescent="0.35"/>
  <sheetData>
    <row r="1" spans="1:22" x14ac:dyDescent="0.35">
      <c r="A1" t="s">
        <v>0</v>
      </c>
      <c r="B1" t="s">
        <v>63</v>
      </c>
    </row>
    <row r="2" spans="1:22" x14ac:dyDescent="0.35">
      <c r="A2" t="s">
        <v>1</v>
      </c>
      <c r="B2" t="s">
        <v>2</v>
      </c>
    </row>
    <row r="3" spans="1:22" x14ac:dyDescent="0.35">
      <c r="A3" t="s">
        <v>3</v>
      </c>
      <c r="B3" t="s">
        <v>62</v>
      </c>
    </row>
    <row r="4" spans="1:22" x14ac:dyDescent="0.35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</row>
    <row r="5" spans="1:22" x14ac:dyDescent="0.35">
      <c r="A5" t="s">
        <v>6</v>
      </c>
      <c r="B5" t="s">
        <v>61</v>
      </c>
    </row>
    <row r="6" spans="1:22" x14ac:dyDescent="0.35">
      <c r="A6" t="s">
        <v>7</v>
      </c>
      <c r="B6">
        <v>22</v>
      </c>
    </row>
    <row r="7" spans="1:22" x14ac:dyDescent="0.35">
      <c r="A7" t="s">
        <v>8</v>
      </c>
      <c r="B7">
        <v>15</v>
      </c>
    </row>
    <row r="8" spans="1:22" x14ac:dyDescent="0.35">
      <c r="A8" t="s">
        <v>9</v>
      </c>
    </row>
    <row r="9" spans="1:22" x14ac:dyDescent="0.35">
      <c r="A9" t="s">
        <v>33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  <c r="V9" t="s">
        <v>32</v>
      </c>
    </row>
    <row r="10" spans="1:22" x14ac:dyDescent="0.35">
      <c r="A10" t="s">
        <v>54</v>
      </c>
      <c r="B10">
        <v>270609</v>
      </c>
      <c r="C10">
        <v>889915</v>
      </c>
      <c r="D10">
        <v>445492</v>
      </c>
      <c r="E10">
        <v>517739</v>
      </c>
      <c r="F10">
        <v>96470</v>
      </c>
      <c r="G10">
        <v>156784</v>
      </c>
      <c r="H10">
        <v>767075</v>
      </c>
      <c r="I10">
        <v>288168</v>
      </c>
      <c r="J10">
        <v>592111</v>
      </c>
      <c r="K10">
        <v>129806</v>
      </c>
      <c r="L10">
        <v>364571</v>
      </c>
      <c r="M10">
        <v>785324</v>
      </c>
      <c r="N10">
        <v>641864</v>
      </c>
      <c r="O10">
        <v>486946</v>
      </c>
      <c r="P10">
        <v>569662</v>
      </c>
      <c r="Q10">
        <v>488364</v>
      </c>
      <c r="R10">
        <v>66194</v>
      </c>
      <c r="S10">
        <v>323160</v>
      </c>
      <c r="T10">
        <v>151431</v>
      </c>
      <c r="U10">
        <v>521816</v>
      </c>
      <c r="V10">
        <v>109897</v>
      </c>
    </row>
    <row r="11" spans="1:22" x14ac:dyDescent="0.35">
      <c r="A11" t="s">
        <v>53</v>
      </c>
      <c r="B11">
        <v>271712</v>
      </c>
      <c r="C11">
        <v>895250</v>
      </c>
      <c r="D11">
        <v>446108</v>
      </c>
      <c r="E11">
        <v>517879</v>
      </c>
      <c r="F11">
        <v>96091</v>
      </c>
      <c r="G11">
        <v>157745</v>
      </c>
      <c r="H11">
        <v>769644</v>
      </c>
      <c r="I11">
        <v>289920</v>
      </c>
      <c r="J11">
        <v>597924</v>
      </c>
      <c r="K11">
        <v>130034</v>
      </c>
      <c r="L11">
        <v>366222</v>
      </c>
      <c r="M11">
        <v>790738</v>
      </c>
      <c r="N11">
        <v>644105</v>
      </c>
      <c r="O11">
        <v>488518</v>
      </c>
      <c r="P11">
        <v>573678</v>
      </c>
      <c r="Q11">
        <v>491778</v>
      </c>
      <c r="R11">
        <v>66342</v>
      </c>
      <c r="S11">
        <v>326869</v>
      </c>
      <c r="T11">
        <v>151118</v>
      </c>
      <c r="U11">
        <v>526426</v>
      </c>
      <c r="V11">
        <v>109638</v>
      </c>
    </row>
    <row r="12" spans="1:22" x14ac:dyDescent="0.35">
      <c r="A12" t="s">
        <v>52</v>
      </c>
      <c r="B12">
        <v>274966</v>
      </c>
      <c r="C12">
        <v>953819</v>
      </c>
      <c r="D12">
        <v>464269</v>
      </c>
      <c r="E12">
        <v>523771</v>
      </c>
      <c r="F12">
        <v>95661</v>
      </c>
      <c r="G12">
        <v>153627</v>
      </c>
      <c r="H12">
        <v>854917</v>
      </c>
      <c r="I12">
        <v>304477</v>
      </c>
      <c r="J12">
        <v>702463</v>
      </c>
      <c r="K12">
        <v>129924</v>
      </c>
      <c r="L12">
        <v>385898</v>
      </c>
      <c r="M12">
        <v>860807</v>
      </c>
      <c r="N12">
        <v>645354</v>
      </c>
      <c r="O12">
        <v>510981</v>
      </c>
      <c r="P12">
        <v>648998</v>
      </c>
      <c r="Q12">
        <v>518117</v>
      </c>
      <c r="R12">
        <v>65046</v>
      </c>
      <c r="S12">
        <v>345647</v>
      </c>
      <c r="T12">
        <v>145543</v>
      </c>
      <c r="U12">
        <v>572114</v>
      </c>
      <c r="V12">
        <v>110731</v>
      </c>
    </row>
    <row r="13" spans="1:22" x14ac:dyDescent="0.35">
      <c r="A13" t="s">
        <v>51</v>
      </c>
      <c r="B13">
        <v>274635</v>
      </c>
      <c r="C13">
        <v>912024</v>
      </c>
      <c r="D13">
        <v>450250</v>
      </c>
      <c r="E13">
        <v>512610</v>
      </c>
      <c r="F13">
        <v>96522</v>
      </c>
      <c r="G13">
        <v>157028</v>
      </c>
      <c r="H13">
        <v>785576</v>
      </c>
      <c r="I13">
        <v>289703</v>
      </c>
      <c r="J13">
        <v>645658</v>
      </c>
      <c r="K13">
        <v>127348</v>
      </c>
      <c r="L13">
        <v>367407</v>
      </c>
      <c r="M13">
        <v>815253</v>
      </c>
      <c r="N13">
        <v>629144</v>
      </c>
      <c r="O13">
        <v>494801</v>
      </c>
      <c r="P13">
        <v>578922</v>
      </c>
      <c r="Q13">
        <v>503257</v>
      </c>
      <c r="R13">
        <v>65880</v>
      </c>
      <c r="S13">
        <v>326277</v>
      </c>
      <c r="T13">
        <v>148185</v>
      </c>
      <c r="U13">
        <v>539918</v>
      </c>
      <c r="V13">
        <v>108154</v>
      </c>
    </row>
    <row r="14" spans="1:22" x14ac:dyDescent="0.35">
      <c r="A14" t="s">
        <v>50</v>
      </c>
      <c r="B14">
        <v>274657</v>
      </c>
      <c r="C14">
        <v>916299</v>
      </c>
      <c r="D14">
        <v>450667</v>
      </c>
      <c r="E14">
        <v>511636</v>
      </c>
      <c r="F14">
        <v>96267</v>
      </c>
      <c r="G14">
        <v>156862</v>
      </c>
      <c r="H14">
        <v>785092</v>
      </c>
      <c r="I14">
        <v>289839</v>
      </c>
      <c r="J14">
        <v>652373</v>
      </c>
      <c r="K14">
        <v>126658</v>
      </c>
      <c r="L14">
        <v>368628</v>
      </c>
      <c r="M14">
        <v>819389</v>
      </c>
      <c r="N14">
        <v>627682</v>
      </c>
      <c r="O14">
        <v>495623</v>
      </c>
      <c r="P14">
        <v>580013</v>
      </c>
      <c r="Q14">
        <v>503531</v>
      </c>
      <c r="R14">
        <v>65427</v>
      </c>
      <c r="S14">
        <v>327462</v>
      </c>
      <c r="T14">
        <v>147003</v>
      </c>
      <c r="U14">
        <v>542977</v>
      </c>
      <c r="V14">
        <v>107586</v>
      </c>
    </row>
    <row r="15" spans="1:22" x14ac:dyDescent="0.35">
      <c r="A15" t="s">
        <v>49</v>
      </c>
      <c r="B15">
        <v>274360</v>
      </c>
      <c r="C15">
        <v>920021</v>
      </c>
      <c r="D15">
        <v>448992</v>
      </c>
      <c r="E15">
        <v>509983</v>
      </c>
      <c r="F15">
        <v>95540</v>
      </c>
      <c r="G15">
        <v>155912</v>
      </c>
      <c r="H15">
        <v>786685</v>
      </c>
      <c r="I15">
        <v>289935</v>
      </c>
      <c r="J15">
        <v>657101</v>
      </c>
      <c r="K15">
        <v>126443</v>
      </c>
      <c r="L15">
        <v>369534</v>
      </c>
      <c r="M15">
        <v>821811</v>
      </c>
      <c r="N15">
        <v>626964</v>
      </c>
      <c r="O15">
        <v>496050</v>
      </c>
      <c r="P15">
        <v>582166</v>
      </c>
      <c r="Q15">
        <v>503815</v>
      </c>
      <c r="R15">
        <v>64801</v>
      </c>
      <c r="S15">
        <v>329052</v>
      </c>
      <c r="T15">
        <v>145672</v>
      </c>
      <c r="U15">
        <v>546051</v>
      </c>
      <c r="V15">
        <v>106933</v>
      </c>
    </row>
    <row r="16" spans="1:22" x14ac:dyDescent="0.35">
      <c r="A16" t="s">
        <v>48</v>
      </c>
      <c r="B16">
        <v>272634</v>
      </c>
      <c r="C16">
        <v>923475</v>
      </c>
      <c r="D16">
        <v>449806</v>
      </c>
      <c r="E16">
        <v>508409</v>
      </c>
      <c r="F16">
        <v>94961</v>
      </c>
      <c r="G16">
        <v>155887</v>
      </c>
      <c r="H16">
        <v>788796</v>
      </c>
      <c r="I16">
        <v>290742</v>
      </c>
      <c r="J16">
        <v>660312</v>
      </c>
      <c r="K16">
        <v>125902</v>
      </c>
      <c r="L16">
        <v>369031</v>
      </c>
      <c r="M16">
        <v>824331</v>
      </c>
      <c r="N16">
        <v>625581</v>
      </c>
      <c r="O16">
        <v>494931</v>
      </c>
      <c r="P16">
        <v>584563</v>
      </c>
      <c r="Q16">
        <v>504483</v>
      </c>
      <c r="R16">
        <v>64342</v>
      </c>
      <c r="S16">
        <v>329378</v>
      </c>
      <c r="T16">
        <v>144639</v>
      </c>
      <c r="U16">
        <v>548052</v>
      </c>
      <c r="V16">
        <v>107022</v>
      </c>
    </row>
    <row r="17" spans="1:22" x14ac:dyDescent="0.35">
      <c r="A17" t="s">
        <v>47</v>
      </c>
      <c r="B17">
        <v>270206</v>
      </c>
      <c r="C17">
        <v>926481</v>
      </c>
      <c r="D17">
        <v>447906</v>
      </c>
      <c r="E17">
        <v>507760</v>
      </c>
      <c r="F17">
        <v>94330</v>
      </c>
      <c r="G17">
        <v>154580</v>
      </c>
      <c r="H17">
        <v>790546</v>
      </c>
      <c r="I17">
        <v>291022</v>
      </c>
      <c r="J17">
        <v>664595</v>
      </c>
      <c r="K17">
        <v>125569</v>
      </c>
      <c r="L17">
        <v>368266</v>
      </c>
      <c r="M17">
        <v>825471</v>
      </c>
      <c r="N17">
        <v>624180</v>
      </c>
      <c r="O17">
        <v>494370</v>
      </c>
      <c r="P17">
        <v>587238</v>
      </c>
      <c r="Q17">
        <v>504556</v>
      </c>
      <c r="R17">
        <v>63754</v>
      </c>
      <c r="S17">
        <v>329682</v>
      </c>
      <c r="T17">
        <v>143059</v>
      </c>
      <c r="U17">
        <v>549954</v>
      </c>
      <c r="V17">
        <v>106787</v>
      </c>
    </row>
    <row r="18" spans="1:22" x14ac:dyDescent="0.35">
      <c r="A18" t="s">
        <v>46</v>
      </c>
      <c r="B18">
        <v>267212</v>
      </c>
      <c r="C18">
        <v>928381</v>
      </c>
      <c r="D18">
        <v>447092</v>
      </c>
      <c r="E18">
        <v>507119</v>
      </c>
      <c r="F18">
        <v>93825</v>
      </c>
      <c r="G18">
        <v>153003</v>
      </c>
      <c r="H18">
        <v>793073</v>
      </c>
      <c r="I18">
        <v>290795</v>
      </c>
      <c r="J18">
        <v>668673</v>
      </c>
      <c r="K18">
        <v>124976</v>
      </c>
      <c r="L18">
        <v>367929</v>
      </c>
      <c r="M18">
        <v>825298</v>
      </c>
      <c r="N18">
        <v>623055</v>
      </c>
      <c r="O18">
        <v>493831</v>
      </c>
      <c r="P18">
        <v>591142</v>
      </c>
      <c r="Q18">
        <v>504001</v>
      </c>
      <c r="R18">
        <v>63256</v>
      </c>
      <c r="S18">
        <v>330003</v>
      </c>
      <c r="T18">
        <v>142004</v>
      </c>
      <c r="U18">
        <v>552814</v>
      </c>
      <c r="V18">
        <v>106102</v>
      </c>
    </row>
    <row r="19" spans="1:22" x14ac:dyDescent="0.35">
      <c r="A19" t="s">
        <v>45</v>
      </c>
      <c r="B19">
        <v>265446</v>
      </c>
      <c r="C19">
        <v>932449</v>
      </c>
      <c r="D19">
        <v>446229</v>
      </c>
      <c r="E19">
        <v>506488</v>
      </c>
      <c r="F19">
        <v>93283</v>
      </c>
      <c r="G19">
        <v>151147</v>
      </c>
      <c r="H19">
        <v>797222</v>
      </c>
      <c r="I19">
        <v>291088</v>
      </c>
      <c r="J19">
        <v>672858</v>
      </c>
      <c r="K19">
        <v>125076</v>
      </c>
      <c r="L19">
        <v>368489</v>
      </c>
      <c r="M19">
        <v>826972</v>
      </c>
      <c r="N19">
        <v>622122</v>
      </c>
      <c r="O19">
        <v>493994</v>
      </c>
      <c r="P19">
        <v>595564</v>
      </c>
      <c r="Q19">
        <v>504403</v>
      </c>
      <c r="R19">
        <v>62944</v>
      </c>
      <c r="S19">
        <v>330650</v>
      </c>
      <c r="T19">
        <v>141267</v>
      </c>
      <c r="U19">
        <v>554695</v>
      </c>
      <c r="V19">
        <v>105761</v>
      </c>
    </row>
    <row r="20" spans="1:22" x14ac:dyDescent="0.35">
      <c r="A20" t="s">
        <v>44</v>
      </c>
      <c r="B20">
        <v>263994</v>
      </c>
      <c r="C20">
        <v>932897</v>
      </c>
      <c r="D20">
        <v>445429</v>
      </c>
      <c r="E20">
        <v>506685</v>
      </c>
      <c r="F20">
        <v>92604</v>
      </c>
      <c r="G20">
        <v>150274</v>
      </c>
      <c r="H20">
        <v>800530</v>
      </c>
      <c r="I20">
        <v>291754</v>
      </c>
      <c r="J20">
        <v>672390</v>
      </c>
      <c r="K20">
        <v>125265</v>
      </c>
      <c r="L20">
        <v>368720</v>
      </c>
      <c r="M20">
        <v>825677</v>
      </c>
      <c r="N20">
        <v>620859</v>
      </c>
      <c r="O20">
        <v>493084</v>
      </c>
      <c r="P20">
        <v>601649</v>
      </c>
      <c r="Q20">
        <v>503192</v>
      </c>
      <c r="R20">
        <v>62776</v>
      </c>
      <c r="S20">
        <v>330772</v>
      </c>
      <c r="T20">
        <v>140995</v>
      </c>
      <c r="U20">
        <v>556475</v>
      </c>
      <c r="V20">
        <v>105709</v>
      </c>
    </row>
    <row r="21" spans="1:22" x14ac:dyDescent="0.35">
      <c r="A21" t="s">
        <v>43</v>
      </c>
      <c r="B21">
        <v>263653</v>
      </c>
      <c r="C21">
        <v>932256</v>
      </c>
      <c r="D21">
        <v>446160</v>
      </c>
      <c r="E21">
        <v>506503</v>
      </c>
      <c r="F21">
        <v>92247</v>
      </c>
      <c r="G21">
        <v>148995</v>
      </c>
      <c r="H21">
        <v>802162</v>
      </c>
      <c r="I21">
        <v>291842</v>
      </c>
      <c r="J21">
        <v>674030</v>
      </c>
      <c r="K21">
        <v>125201</v>
      </c>
      <c r="L21">
        <v>368047</v>
      </c>
      <c r="M21">
        <v>824394</v>
      </c>
      <c r="N21">
        <v>619687</v>
      </c>
      <c r="O21">
        <v>491577</v>
      </c>
      <c r="P21">
        <v>607498</v>
      </c>
      <c r="Q21">
        <v>501838</v>
      </c>
      <c r="R21">
        <v>62341</v>
      </c>
      <c r="S21">
        <v>329998</v>
      </c>
      <c r="T21">
        <v>140710</v>
      </c>
      <c r="U21">
        <v>556664</v>
      </c>
      <c r="V21">
        <v>105455</v>
      </c>
    </row>
    <row r="22" spans="1:22" x14ac:dyDescent="0.35">
      <c r="A22" t="s">
        <v>42</v>
      </c>
      <c r="B22">
        <v>274172</v>
      </c>
      <c r="C22">
        <v>953617</v>
      </c>
      <c r="D22">
        <v>461648</v>
      </c>
      <c r="E22">
        <v>523074</v>
      </c>
      <c r="F22">
        <v>95040</v>
      </c>
      <c r="G22">
        <v>153692</v>
      </c>
      <c r="H22">
        <v>859924</v>
      </c>
      <c r="I22">
        <v>302554</v>
      </c>
      <c r="J22">
        <v>721832</v>
      </c>
      <c r="K22">
        <v>128786</v>
      </c>
      <c r="L22">
        <v>386441</v>
      </c>
      <c r="M22">
        <v>861314</v>
      </c>
      <c r="N22">
        <v>642771</v>
      </c>
      <c r="O22">
        <v>508384</v>
      </c>
      <c r="P22">
        <v>638422</v>
      </c>
      <c r="Q22">
        <v>523406</v>
      </c>
      <c r="R22">
        <v>64842</v>
      </c>
      <c r="S22">
        <v>344725</v>
      </c>
      <c r="T22">
        <v>143915</v>
      </c>
      <c r="U22">
        <v>573617</v>
      </c>
      <c r="V22">
        <v>109513</v>
      </c>
    </row>
    <row r="23" spans="1:22" x14ac:dyDescent="0.35">
      <c r="A23" t="s">
        <v>41</v>
      </c>
      <c r="B23">
        <v>275130</v>
      </c>
      <c r="C23">
        <v>954879</v>
      </c>
      <c r="D23">
        <v>464411</v>
      </c>
      <c r="E23">
        <v>524124</v>
      </c>
      <c r="F23">
        <v>95768</v>
      </c>
      <c r="G23">
        <v>152089</v>
      </c>
      <c r="H23">
        <v>854121</v>
      </c>
      <c r="I23">
        <v>304620</v>
      </c>
      <c r="J23">
        <v>703447</v>
      </c>
      <c r="K23">
        <v>129668</v>
      </c>
      <c r="L23">
        <v>382116</v>
      </c>
      <c r="M23">
        <v>862328</v>
      </c>
      <c r="N23">
        <v>646392</v>
      </c>
      <c r="O23">
        <v>510444</v>
      </c>
      <c r="P23">
        <v>649741</v>
      </c>
      <c r="Q23">
        <v>518345</v>
      </c>
      <c r="R23">
        <v>65058</v>
      </c>
      <c r="S23">
        <v>346331</v>
      </c>
      <c r="T23">
        <v>145645</v>
      </c>
      <c r="U23">
        <v>572810</v>
      </c>
      <c r="V23">
        <v>110494</v>
      </c>
    </row>
    <row r="24" spans="1:22" x14ac:dyDescent="0.35">
      <c r="A24" t="s">
        <v>60</v>
      </c>
      <c r="B24">
        <v>275638</v>
      </c>
      <c r="C24">
        <v>952997</v>
      </c>
      <c r="D24">
        <v>466103</v>
      </c>
      <c r="E24">
        <v>524907</v>
      </c>
      <c r="F24">
        <v>95634</v>
      </c>
      <c r="G24">
        <v>151356</v>
      </c>
      <c r="H24">
        <v>849477</v>
      </c>
      <c r="I24">
        <v>306601</v>
      </c>
      <c r="J24">
        <v>703366</v>
      </c>
      <c r="K24">
        <v>129777</v>
      </c>
      <c r="L24">
        <v>380688</v>
      </c>
      <c r="M24">
        <v>861418</v>
      </c>
      <c r="N24">
        <v>644098</v>
      </c>
      <c r="O24">
        <v>511151</v>
      </c>
      <c r="P24">
        <v>655735</v>
      </c>
      <c r="Q24">
        <v>513936</v>
      </c>
      <c r="R24">
        <v>65117</v>
      </c>
      <c r="S24">
        <v>346875</v>
      </c>
      <c r="T24">
        <v>146084</v>
      </c>
      <c r="U24">
        <v>569815</v>
      </c>
      <c r="V24">
        <v>110926</v>
      </c>
    </row>
    <row r="25" spans="1:22" x14ac:dyDescent="0.35">
      <c r="A25" t="s">
        <v>9</v>
      </c>
    </row>
    <row r="26" spans="1:22" x14ac:dyDescent="0.35">
      <c r="A26" t="s">
        <v>9</v>
      </c>
    </row>
    <row r="27" spans="1:22" x14ac:dyDescent="0.35">
      <c r="A27" t="s">
        <v>9</v>
      </c>
    </row>
    <row r="28" spans="1:22" x14ac:dyDescent="0.35">
      <c r="A28" t="s">
        <v>10</v>
      </c>
      <c r="B28" t="s">
        <v>59</v>
      </c>
    </row>
    <row r="29" spans="1:22" x14ac:dyDescent="0.35">
      <c r="A29" t="s">
        <v>11</v>
      </c>
      <c r="B29" t="s">
        <v>39</v>
      </c>
    </row>
    <row r="32" spans="1:22" x14ac:dyDescent="0.35">
      <c r="A32" t="s">
        <v>73</v>
      </c>
    </row>
    <row r="33" spans="1:21" x14ac:dyDescent="0.35">
      <c r="A33" t="s">
        <v>74</v>
      </c>
    </row>
    <row r="34" spans="1:21" x14ac:dyDescent="0.35">
      <c r="A34" t="s">
        <v>66</v>
      </c>
    </row>
    <row r="35" spans="1:21" x14ac:dyDescent="0.35">
      <c r="A35" t="s">
        <v>69</v>
      </c>
    </row>
    <row r="36" spans="1:21" x14ac:dyDescent="0.35">
      <c r="A36" t="s">
        <v>72</v>
      </c>
    </row>
    <row r="37" spans="1:21" x14ac:dyDescent="0.35">
      <c r="A37" t="s">
        <v>67</v>
      </c>
    </row>
    <row r="38" spans="1:21" x14ac:dyDescent="0.35">
      <c r="A38" t="s">
        <v>68</v>
      </c>
    </row>
    <row r="39" spans="1:21" x14ac:dyDescent="0.35">
      <c r="A39" t="s">
        <v>75</v>
      </c>
    </row>
    <row r="40" spans="1:21" x14ac:dyDescent="0.35">
      <c r="A40" t="str">
        <f>"("&amp;$A10&amp;",'"&amp;B$9&amp;"',"&amp;IF(LEN(B10)&gt;0,B10,"NULL")&amp;")"&amp;IF(LEN($A11)+LEN(C$9)&gt;0,",",";")</f>
        <v>(2008,'Atlantic',270609),</v>
      </c>
      <c r="B40" t="str">
        <f t="shared" ref="B40:U40" si="0">"("&amp;$A10&amp;",'"&amp;C$9&amp;"',"&amp;IF(LEN(C10)&gt;0,C10,"NULL")&amp;")"&amp;IF(LEN($A11)+LEN(D$9)&gt;0,",",";")</f>
        <v>(2008,'Bergen',889915),</v>
      </c>
      <c r="C40" t="str">
        <f t="shared" si="0"/>
        <v>(2008,'Burlington',445492),</v>
      </c>
      <c r="D40" t="str">
        <f t="shared" si="0"/>
        <v>(2008,'Camden',517739),</v>
      </c>
      <c r="E40" t="str">
        <f t="shared" si="0"/>
        <v>(2008,'Cape May',96470),</v>
      </c>
      <c r="F40" t="str">
        <f t="shared" si="0"/>
        <v>(2008,'Cumberland',156784),</v>
      </c>
      <c r="G40" t="str">
        <f t="shared" si="0"/>
        <v>(2008,'Essex',767075),</v>
      </c>
      <c r="H40" t="str">
        <f t="shared" si="0"/>
        <v>(2008,'Gloucester',288168),</v>
      </c>
      <c r="I40" t="str">
        <f t="shared" si="0"/>
        <v>(2008,'Hudson',592111),</v>
      </c>
      <c r="J40" t="str">
        <f t="shared" si="0"/>
        <v>(2008,'Hunterdon',129806),</v>
      </c>
      <c r="K40" t="str">
        <f t="shared" si="0"/>
        <v>(2008,'Mercer',364571),</v>
      </c>
      <c r="L40" t="str">
        <f t="shared" si="0"/>
        <v>(2008,'Middlesex',785324),</v>
      </c>
      <c r="M40" t="str">
        <f t="shared" si="0"/>
        <v>(2008,'Monmouth',641864),</v>
      </c>
      <c r="N40" t="str">
        <f t="shared" si="0"/>
        <v>(2008,'Morris',486946),</v>
      </c>
      <c r="O40" t="str">
        <f t="shared" si="0"/>
        <v>(2008,'Ocean',569662),</v>
      </c>
      <c r="P40" t="str">
        <f t="shared" si="0"/>
        <v>(2008,'Passaic',488364),</v>
      </c>
      <c r="Q40" t="str">
        <f t="shared" si="0"/>
        <v>(2008,'Salem',66194),</v>
      </c>
      <c r="R40" t="str">
        <f t="shared" si="0"/>
        <v>(2008,'Somerset',323160),</v>
      </c>
      <c r="S40" t="str">
        <f t="shared" si="0"/>
        <v>(2008,'Sussex',151431),</v>
      </c>
      <c r="T40" t="str">
        <f t="shared" si="0"/>
        <v>(2008,'Union',521816),</v>
      </c>
      <c r="U40" t="str">
        <f t="shared" si="0"/>
        <v>(2008,'Warren',109897),</v>
      </c>
    </row>
    <row r="41" spans="1:21" x14ac:dyDescent="0.35">
      <c r="A41" t="str">
        <f t="shared" ref="A41:A53" si="1">"("&amp;$A11&amp;",'"&amp;B$9&amp;"',"&amp;IF(LEN(B11)&gt;0,B11,"NULL")&amp;")"&amp;IF(LEN($A12)+LEN(C$9)&gt;0,",",";")</f>
        <v>(2009,'Atlantic',271712),</v>
      </c>
      <c r="B41" t="str">
        <f t="shared" ref="B41:B54" si="2">"("&amp;$A11&amp;",'"&amp;C$9&amp;"',"&amp;IF(LEN(C11)&gt;0,C11,"NULL")&amp;")"&amp;IF(LEN($A12)+LEN(D$9)&gt;0,",",";")</f>
        <v>(2009,'Bergen',895250),</v>
      </c>
      <c r="C41" t="str">
        <f t="shared" ref="C41:C54" si="3">"("&amp;$A11&amp;",'"&amp;D$9&amp;"',"&amp;IF(LEN(D11)&gt;0,D11,"NULL")&amp;")"&amp;IF(LEN($A12)+LEN(E$9)&gt;0,",",";")</f>
        <v>(2009,'Burlington',446108),</v>
      </c>
      <c r="D41" t="str">
        <f t="shared" ref="D41:D54" si="4">"("&amp;$A11&amp;",'"&amp;E$9&amp;"',"&amp;IF(LEN(E11)&gt;0,E11,"NULL")&amp;")"&amp;IF(LEN($A12)+LEN(F$9)&gt;0,",",";")</f>
        <v>(2009,'Camden',517879),</v>
      </c>
      <c r="E41" t="str">
        <f t="shared" ref="E41:E54" si="5">"("&amp;$A11&amp;",'"&amp;F$9&amp;"',"&amp;IF(LEN(F11)&gt;0,F11,"NULL")&amp;")"&amp;IF(LEN($A12)+LEN(G$9)&gt;0,",",";")</f>
        <v>(2009,'Cape May',96091),</v>
      </c>
      <c r="F41" t="str">
        <f t="shared" ref="F41:F54" si="6">"("&amp;$A11&amp;",'"&amp;G$9&amp;"',"&amp;IF(LEN(G11)&gt;0,G11,"NULL")&amp;")"&amp;IF(LEN($A12)+LEN(H$9)&gt;0,",",";")</f>
        <v>(2009,'Cumberland',157745),</v>
      </c>
      <c r="G41" t="str">
        <f t="shared" ref="G41:G54" si="7">"("&amp;$A11&amp;",'"&amp;H$9&amp;"',"&amp;IF(LEN(H11)&gt;0,H11,"NULL")&amp;")"&amp;IF(LEN($A12)+LEN(I$9)&gt;0,",",";")</f>
        <v>(2009,'Essex',769644),</v>
      </c>
      <c r="H41" t="str">
        <f t="shared" ref="H41:H54" si="8">"("&amp;$A11&amp;",'"&amp;I$9&amp;"',"&amp;IF(LEN(I11)&gt;0,I11,"NULL")&amp;")"&amp;IF(LEN($A12)+LEN(J$9)&gt;0,",",";")</f>
        <v>(2009,'Gloucester',289920),</v>
      </c>
      <c r="I41" t="str">
        <f t="shared" ref="I41:I54" si="9">"("&amp;$A11&amp;",'"&amp;J$9&amp;"',"&amp;IF(LEN(J11)&gt;0,J11,"NULL")&amp;")"&amp;IF(LEN($A12)+LEN(K$9)&gt;0,",",";")</f>
        <v>(2009,'Hudson',597924),</v>
      </c>
      <c r="J41" t="str">
        <f t="shared" ref="J41:J54" si="10">"("&amp;$A11&amp;",'"&amp;K$9&amp;"',"&amp;IF(LEN(K11)&gt;0,K11,"NULL")&amp;")"&amp;IF(LEN($A12)+LEN(L$9)&gt;0,",",";")</f>
        <v>(2009,'Hunterdon',130034),</v>
      </c>
      <c r="K41" t="str">
        <f t="shared" ref="K41:K54" si="11">"("&amp;$A11&amp;",'"&amp;L$9&amp;"',"&amp;IF(LEN(L11)&gt;0,L11,"NULL")&amp;")"&amp;IF(LEN($A12)+LEN(M$9)&gt;0,",",";")</f>
        <v>(2009,'Mercer',366222),</v>
      </c>
      <c r="L41" t="str">
        <f t="shared" ref="L41:L54" si="12">"("&amp;$A11&amp;",'"&amp;M$9&amp;"',"&amp;IF(LEN(M11)&gt;0,M11,"NULL")&amp;")"&amp;IF(LEN($A12)+LEN(N$9)&gt;0,",",";")</f>
        <v>(2009,'Middlesex',790738),</v>
      </c>
      <c r="M41" t="str">
        <f t="shared" ref="M41:M54" si="13">"("&amp;$A11&amp;",'"&amp;N$9&amp;"',"&amp;IF(LEN(N11)&gt;0,N11,"NULL")&amp;")"&amp;IF(LEN($A12)+LEN(O$9)&gt;0,",",";")</f>
        <v>(2009,'Monmouth',644105),</v>
      </c>
      <c r="N41" t="str">
        <f t="shared" ref="N41:N54" si="14">"("&amp;$A11&amp;",'"&amp;O$9&amp;"',"&amp;IF(LEN(O11)&gt;0,O11,"NULL")&amp;")"&amp;IF(LEN($A12)+LEN(P$9)&gt;0,",",";")</f>
        <v>(2009,'Morris',488518),</v>
      </c>
      <c r="O41" t="str">
        <f t="shared" ref="O41:O54" si="15">"("&amp;$A11&amp;",'"&amp;P$9&amp;"',"&amp;IF(LEN(P11)&gt;0,P11,"NULL")&amp;")"&amp;IF(LEN($A12)+LEN(Q$9)&gt;0,",",";")</f>
        <v>(2009,'Ocean',573678),</v>
      </c>
      <c r="P41" t="str">
        <f t="shared" ref="P41:P54" si="16">"("&amp;$A11&amp;",'"&amp;Q$9&amp;"',"&amp;IF(LEN(Q11)&gt;0,Q11,"NULL")&amp;")"&amp;IF(LEN($A12)+LEN(R$9)&gt;0,",",";")</f>
        <v>(2009,'Passaic',491778),</v>
      </c>
      <c r="Q41" t="str">
        <f t="shared" ref="Q41:Q54" si="17">"("&amp;$A11&amp;",'"&amp;R$9&amp;"',"&amp;IF(LEN(R11)&gt;0,R11,"NULL")&amp;")"&amp;IF(LEN($A12)+LEN(S$9)&gt;0,",",";")</f>
        <v>(2009,'Salem',66342),</v>
      </c>
      <c r="R41" t="str">
        <f t="shared" ref="R41:R54" si="18">"("&amp;$A11&amp;",'"&amp;S$9&amp;"',"&amp;IF(LEN(S11)&gt;0,S11,"NULL")&amp;")"&amp;IF(LEN($A12)+LEN(T$9)&gt;0,",",";")</f>
        <v>(2009,'Somerset',326869),</v>
      </c>
      <c r="S41" t="str">
        <f t="shared" ref="S41:S54" si="19">"("&amp;$A11&amp;",'"&amp;T$9&amp;"',"&amp;IF(LEN(T11)&gt;0,T11,"NULL")&amp;")"&amp;IF(LEN($A12)+LEN(U$9)&gt;0,",",";")</f>
        <v>(2009,'Sussex',151118),</v>
      </c>
      <c r="T41" t="str">
        <f t="shared" ref="T41:T54" si="20">"("&amp;$A11&amp;",'"&amp;U$9&amp;"',"&amp;IF(LEN(U11)&gt;0,U11,"NULL")&amp;")"&amp;IF(LEN($A12)+LEN(V$9)&gt;0,",",";")</f>
        <v>(2009,'Union',526426),</v>
      </c>
      <c r="U41" t="str">
        <f t="shared" ref="U41:U54" si="21">"("&amp;$A11&amp;",'"&amp;V$9&amp;"',"&amp;IF(LEN(V11)&gt;0,V11,"NULL")&amp;")"&amp;IF(LEN($A12)+LEN(W$9)&gt;0,",",";")</f>
        <v>(2009,'Warren',109638),</v>
      </c>
    </row>
    <row r="42" spans="1:21" x14ac:dyDescent="0.35">
      <c r="A42" t="str">
        <f t="shared" si="1"/>
        <v>(2010,'Atlantic',274966),</v>
      </c>
      <c r="B42" t="str">
        <f t="shared" si="2"/>
        <v>(2010,'Bergen',953819),</v>
      </c>
      <c r="C42" t="str">
        <f t="shared" si="3"/>
        <v>(2010,'Burlington',464269),</v>
      </c>
      <c r="D42" t="str">
        <f t="shared" si="4"/>
        <v>(2010,'Camden',523771),</v>
      </c>
      <c r="E42" t="str">
        <f t="shared" si="5"/>
        <v>(2010,'Cape May',95661),</v>
      </c>
      <c r="F42" t="str">
        <f t="shared" si="6"/>
        <v>(2010,'Cumberland',153627),</v>
      </c>
      <c r="G42" t="str">
        <f t="shared" si="7"/>
        <v>(2010,'Essex',854917),</v>
      </c>
      <c r="H42" t="str">
        <f t="shared" si="8"/>
        <v>(2010,'Gloucester',304477),</v>
      </c>
      <c r="I42" t="str">
        <f t="shared" si="9"/>
        <v>(2010,'Hudson',702463),</v>
      </c>
      <c r="J42" t="str">
        <f t="shared" si="10"/>
        <v>(2010,'Hunterdon',129924),</v>
      </c>
      <c r="K42" t="str">
        <f t="shared" si="11"/>
        <v>(2010,'Mercer',385898),</v>
      </c>
      <c r="L42" t="str">
        <f t="shared" si="12"/>
        <v>(2010,'Middlesex',860807),</v>
      </c>
      <c r="M42" t="str">
        <f t="shared" si="13"/>
        <v>(2010,'Monmouth',645354),</v>
      </c>
      <c r="N42" t="str">
        <f t="shared" si="14"/>
        <v>(2010,'Morris',510981),</v>
      </c>
      <c r="O42" t="str">
        <f t="shared" si="15"/>
        <v>(2010,'Ocean',648998),</v>
      </c>
      <c r="P42" t="str">
        <f t="shared" si="16"/>
        <v>(2010,'Passaic',518117),</v>
      </c>
      <c r="Q42" t="str">
        <f t="shared" si="17"/>
        <v>(2010,'Salem',65046),</v>
      </c>
      <c r="R42" t="str">
        <f t="shared" si="18"/>
        <v>(2010,'Somerset',345647),</v>
      </c>
      <c r="S42" t="str">
        <f t="shared" si="19"/>
        <v>(2010,'Sussex',145543),</v>
      </c>
      <c r="T42" t="str">
        <f t="shared" si="20"/>
        <v>(2010,'Union',572114),</v>
      </c>
      <c r="U42" t="str">
        <f t="shared" si="21"/>
        <v>(2010,'Warren',110731),</v>
      </c>
    </row>
    <row r="43" spans="1:21" x14ac:dyDescent="0.35">
      <c r="A43" t="str">
        <f t="shared" si="1"/>
        <v>(2011,'Atlantic',274635),</v>
      </c>
      <c r="B43" t="str">
        <f t="shared" si="2"/>
        <v>(2011,'Bergen',912024),</v>
      </c>
      <c r="C43" t="str">
        <f t="shared" si="3"/>
        <v>(2011,'Burlington',450250),</v>
      </c>
      <c r="D43" t="str">
        <f t="shared" si="4"/>
        <v>(2011,'Camden',512610),</v>
      </c>
      <c r="E43" t="str">
        <f t="shared" si="5"/>
        <v>(2011,'Cape May',96522),</v>
      </c>
      <c r="F43" t="str">
        <f t="shared" si="6"/>
        <v>(2011,'Cumberland',157028),</v>
      </c>
      <c r="G43" t="str">
        <f t="shared" si="7"/>
        <v>(2011,'Essex',785576),</v>
      </c>
      <c r="H43" t="str">
        <f t="shared" si="8"/>
        <v>(2011,'Gloucester',289703),</v>
      </c>
      <c r="I43" t="str">
        <f t="shared" si="9"/>
        <v>(2011,'Hudson',645658),</v>
      </c>
      <c r="J43" t="str">
        <f t="shared" si="10"/>
        <v>(2011,'Hunterdon',127348),</v>
      </c>
      <c r="K43" t="str">
        <f t="shared" si="11"/>
        <v>(2011,'Mercer',367407),</v>
      </c>
      <c r="L43" t="str">
        <f t="shared" si="12"/>
        <v>(2011,'Middlesex',815253),</v>
      </c>
      <c r="M43" t="str">
        <f t="shared" si="13"/>
        <v>(2011,'Monmouth',629144),</v>
      </c>
      <c r="N43" t="str">
        <f t="shared" si="14"/>
        <v>(2011,'Morris',494801),</v>
      </c>
      <c r="O43" t="str">
        <f t="shared" si="15"/>
        <v>(2011,'Ocean',578922),</v>
      </c>
      <c r="P43" t="str">
        <f t="shared" si="16"/>
        <v>(2011,'Passaic',503257),</v>
      </c>
      <c r="Q43" t="str">
        <f t="shared" si="17"/>
        <v>(2011,'Salem',65880),</v>
      </c>
      <c r="R43" t="str">
        <f t="shared" si="18"/>
        <v>(2011,'Somerset',326277),</v>
      </c>
      <c r="S43" t="str">
        <f t="shared" si="19"/>
        <v>(2011,'Sussex',148185),</v>
      </c>
      <c r="T43" t="str">
        <f t="shared" si="20"/>
        <v>(2011,'Union',539918),</v>
      </c>
      <c r="U43" t="str">
        <f t="shared" si="21"/>
        <v>(2011,'Warren',108154),</v>
      </c>
    </row>
    <row r="44" spans="1:21" x14ac:dyDescent="0.35">
      <c r="A44" t="str">
        <f t="shared" si="1"/>
        <v>(2012,'Atlantic',274657),</v>
      </c>
      <c r="B44" t="str">
        <f t="shared" si="2"/>
        <v>(2012,'Bergen',916299),</v>
      </c>
      <c r="C44" t="str">
        <f t="shared" si="3"/>
        <v>(2012,'Burlington',450667),</v>
      </c>
      <c r="D44" t="str">
        <f t="shared" si="4"/>
        <v>(2012,'Camden',511636),</v>
      </c>
      <c r="E44" t="str">
        <f t="shared" si="5"/>
        <v>(2012,'Cape May',96267),</v>
      </c>
      <c r="F44" t="str">
        <f t="shared" si="6"/>
        <v>(2012,'Cumberland',156862),</v>
      </c>
      <c r="G44" t="str">
        <f t="shared" si="7"/>
        <v>(2012,'Essex',785092),</v>
      </c>
      <c r="H44" t="str">
        <f t="shared" si="8"/>
        <v>(2012,'Gloucester',289839),</v>
      </c>
      <c r="I44" t="str">
        <f t="shared" si="9"/>
        <v>(2012,'Hudson',652373),</v>
      </c>
      <c r="J44" t="str">
        <f t="shared" si="10"/>
        <v>(2012,'Hunterdon',126658),</v>
      </c>
      <c r="K44" t="str">
        <f t="shared" si="11"/>
        <v>(2012,'Mercer',368628),</v>
      </c>
      <c r="L44" t="str">
        <f t="shared" si="12"/>
        <v>(2012,'Middlesex',819389),</v>
      </c>
      <c r="M44" t="str">
        <f t="shared" si="13"/>
        <v>(2012,'Monmouth',627682),</v>
      </c>
      <c r="N44" t="str">
        <f t="shared" si="14"/>
        <v>(2012,'Morris',495623),</v>
      </c>
      <c r="O44" t="str">
        <f t="shared" si="15"/>
        <v>(2012,'Ocean',580013),</v>
      </c>
      <c r="P44" t="str">
        <f t="shared" si="16"/>
        <v>(2012,'Passaic',503531),</v>
      </c>
      <c r="Q44" t="str">
        <f t="shared" si="17"/>
        <v>(2012,'Salem',65427),</v>
      </c>
      <c r="R44" t="str">
        <f t="shared" si="18"/>
        <v>(2012,'Somerset',327462),</v>
      </c>
      <c r="S44" t="str">
        <f t="shared" si="19"/>
        <v>(2012,'Sussex',147003),</v>
      </c>
      <c r="T44" t="str">
        <f t="shared" si="20"/>
        <v>(2012,'Union',542977),</v>
      </c>
      <c r="U44" t="str">
        <f t="shared" si="21"/>
        <v>(2012,'Warren',107586),</v>
      </c>
    </row>
    <row r="45" spans="1:21" x14ac:dyDescent="0.35">
      <c r="A45" t="str">
        <f t="shared" si="1"/>
        <v>(2013,'Atlantic',274360),</v>
      </c>
      <c r="B45" t="str">
        <f t="shared" si="2"/>
        <v>(2013,'Bergen',920021),</v>
      </c>
      <c r="C45" t="str">
        <f t="shared" si="3"/>
        <v>(2013,'Burlington',448992),</v>
      </c>
      <c r="D45" t="str">
        <f t="shared" si="4"/>
        <v>(2013,'Camden',509983),</v>
      </c>
      <c r="E45" t="str">
        <f t="shared" si="5"/>
        <v>(2013,'Cape May',95540),</v>
      </c>
      <c r="F45" t="str">
        <f t="shared" si="6"/>
        <v>(2013,'Cumberland',155912),</v>
      </c>
      <c r="G45" t="str">
        <f t="shared" si="7"/>
        <v>(2013,'Essex',786685),</v>
      </c>
      <c r="H45" t="str">
        <f t="shared" si="8"/>
        <v>(2013,'Gloucester',289935),</v>
      </c>
      <c r="I45" t="str">
        <f t="shared" si="9"/>
        <v>(2013,'Hudson',657101),</v>
      </c>
      <c r="J45" t="str">
        <f t="shared" si="10"/>
        <v>(2013,'Hunterdon',126443),</v>
      </c>
      <c r="K45" t="str">
        <f t="shared" si="11"/>
        <v>(2013,'Mercer',369534),</v>
      </c>
      <c r="L45" t="str">
        <f t="shared" si="12"/>
        <v>(2013,'Middlesex',821811),</v>
      </c>
      <c r="M45" t="str">
        <f t="shared" si="13"/>
        <v>(2013,'Monmouth',626964),</v>
      </c>
      <c r="N45" t="str">
        <f t="shared" si="14"/>
        <v>(2013,'Morris',496050),</v>
      </c>
      <c r="O45" t="str">
        <f t="shared" si="15"/>
        <v>(2013,'Ocean',582166),</v>
      </c>
      <c r="P45" t="str">
        <f t="shared" si="16"/>
        <v>(2013,'Passaic',503815),</v>
      </c>
      <c r="Q45" t="str">
        <f t="shared" si="17"/>
        <v>(2013,'Salem',64801),</v>
      </c>
      <c r="R45" t="str">
        <f t="shared" si="18"/>
        <v>(2013,'Somerset',329052),</v>
      </c>
      <c r="S45" t="str">
        <f t="shared" si="19"/>
        <v>(2013,'Sussex',145672),</v>
      </c>
      <c r="T45" t="str">
        <f t="shared" si="20"/>
        <v>(2013,'Union',546051),</v>
      </c>
      <c r="U45" t="str">
        <f t="shared" si="21"/>
        <v>(2013,'Warren',106933),</v>
      </c>
    </row>
    <row r="46" spans="1:21" x14ac:dyDescent="0.35">
      <c r="A46" t="str">
        <f t="shared" si="1"/>
        <v>(2014,'Atlantic',272634),</v>
      </c>
      <c r="B46" t="str">
        <f t="shared" si="2"/>
        <v>(2014,'Bergen',923475),</v>
      </c>
      <c r="C46" t="str">
        <f t="shared" si="3"/>
        <v>(2014,'Burlington',449806),</v>
      </c>
      <c r="D46" t="str">
        <f t="shared" si="4"/>
        <v>(2014,'Camden',508409),</v>
      </c>
      <c r="E46" t="str">
        <f t="shared" si="5"/>
        <v>(2014,'Cape May',94961),</v>
      </c>
      <c r="F46" t="str">
        <f t="shared" si="6"/>
        <v>(2014,'Cumberland',155887),</v>
      </c>
      <c r="G46" t="str">
        <f t="shared" si="7"/>
        <v>(2014,'Essex',788796),</v>
      </c>
      <c r="H46" t="str">
        <f t="shared" si="8"/>
        <v>(2014,'Gloucester',290742),</v>
      </c>
      <c r="I46" t="str">
        <f t="shared" si="9"/>
        <v>(2014,'Hudson',660312),</v>
      </c>
      <c r="J46" t="str">
        <f t="shared" si="10"/>
        <v>(2014,'Hunterdon',125902),</v>
      </c>
      <c r="K46" t="str">
        <f t="shared" si="11"/>
        <v>(2014,'Mercer',369031),</v>
      </c>
      <c r="L46" t="str">
        <f t="shared" si="12"/>
        <v>(2014,'Middlesex',824331),</v>
      </c>
      <c r="M46" t="str">
        <f t="shared" si="13"/>
        <v>(2014,'Monmouth',625581),</v>
      </c>
      <c r="N46" t="str">
        <f t="shared" si="14"/>
        <v>(2014,'Morris',494931),</v>
      </c>
      <c r="O46" t="str">
        <f t="shared" si="15"/>
        <v>(2014,'Ocean',584563),</v>
      </c>
      <c r="P46" t="str">
        <f t="shared" si="16"/>
        <v>(2014,'Passaic',504483),</v>
      </c>
      <c r="Q46" t="str">
        <f t="shared" si="17"/>
        <v>(2014,'Salem',64342),</v>
      </c>
      <c r="R46" t="str">
        <f t="shared" si="18"/>
        <v>(2014,'Somerset',329378),</v>
      </c>
      <c r="S46" t="str">
        <f t="shared" si="19"/>
        <v>(2014,'Sussex',144639),</v>
      </c>
      <c r="T46" t="str">
        <f t="shared" si="20"/>
        <v>(2014,'Union',548052),</v>
      </c>
      <c r="U46" t="str">
        <f t="shared" si="21"/>
        <v>(2014,'Warren',107022),</v>
      </c>
    </row>
    <row r="47" spans="1:21" x14ac:dyDescent="0.35">
      <c r="A47" t="str">
        <f t="shared" si="1"/>
        <v>(2015,'Atlantic',270206),</v>
      </c>
      <c r="B47" t="str">
        <f t="shared" si="2"/>
        <v>(2015,'Bergen',926481),</v>
      </c>
      <c r="C47" t="str">
        <f t="shared" si="3"/>
        <v>(2015,'Burlington',447906),</v>
      </c>
      <c r="D47" t="str">
        <f t="shared" si="4"/>
        <v>(2015,'Camden',507760),</v>
      </c>
      <c r="E47" t="str">
        <f t="shared" si="5"/>
        <v>(2015,'Cape May',94330),</v>
      </c>
      <c r="F47" t="str">
        <f t="shared" si="6"/>
        <v>(2015,'Cumberland',154580),</v>
      </c>
      <c r="G47" t="str">
        <f t="shared" si="7"/>
        <v>(2015,'Essex',790546),</v>
      </c>
      <c r="H47" t="str">
        <f t="shared" si="8"/>
        <v>(2015,'Gloucester',291022),</v>
      </c>
      <c r="I47" t="str">
        <f t="shared" si="9"/>
        <v>(2015,'Hudson',664595),</v>
      </c>
      <c r="J47" t="str">
        <f t="shared" si="10"/>
        <v>(2015,'Hunterdon',125569),</v>
      </c>
      <c r="K47" t="str">
        <f t="shared" si="11"/>
        <v>(2015,'Mercer',368266),</v>
      </c>
      <c r="L47" t="str">
        <f t="shared" si="12"/>
        <v>(2015,'Middlesex',825471),</v>
      </c>
      <c r="M47" t="str">
        <f t="shared" si="13"/>
        <v>(2015,'Monmouth',624180),</v>
      </c>
      <c r="N47" t="str">
        <f t="shared" si="14"/>
        <v>(2015,'Morris',494370),</v>
      </c>
      <c r="O47" t="str">
        <f t="shared" si="15"/>
        <v>(2015,'Ocean',587238),</v>
      </c>
      <c r="P47" t="str">
        <f t="shared" si="16"/>
        <v>(2015,'Passaic',504556),</v>
      </c>
      <c r="Q47" t="str">
        <f t="shared" si="17"/>
        <v>(2015,'Salem',63754),</v>
      </c>
      <c r="R47" t="str">
        <f t="shared" si="18"/>
        <v>(2015,'Somerset',329682),</v>
      </c>
      <c r="S47" t="str">
        <f t="shared" si="19"/>
        <v>(2015,'Sussex',143059),</v>
      </c>
      <c r="T47" t="str">
        <f t="shared" si="20"/>
        <v>(2015,'Union',549954),</v>
      </c>
      <c r="U47" t="str">
        <f t="shared" si="21"/>
        <v>(2015,'Warren',106787),</v>
      </c>
    </row>
    <row r="48" spans="1:21" x14ac:dyDescent="0.35">
      <c r="A48" t="str">
        <f t="shared" si="1"/>
        <v>(2016,'Atlantic',267212),</v>
      </c>
      <c r="B48" t="str">
        <f t="shared" si="2"/>
        <v>(2016,'Bergen',928381),</v>
      </c>
      <c r="C48" t="str">
        <f t="shared" si="3"/>
        <v>(2016,'Burlington',447092),</v>
      </c>
      <c r="D48" t="str">
        <f t="shared" si="4"/>
        <v>(2016,'Camden',507119),</v>
      </c>
      <c r="E48" t="str">
        <f t="shared" si="5"/>
        <v>(2016,'Cape May',93825),</v>
      </c>
      <c r="F48" t="str">
        <f t="shared" si="6"/>
        <v>(2016,'Cumberland',153003),</v>
      </c>
      <c r="G48" t="str">
        <f t="shared" si="7"/>
        <v>(2016,'Essex',793073),</v>
      </c>
      <c r="H48" t="str">
        <f t="shared" si="8"/>
        <v>(2016,'Gloucester',290795),</v>
      </c>
      <c r="I48" t="str">
        <f t="shared" si="9"/>
        <v>(2016,'Hudson',668673),</v>
      </c>
      <c r="J48" t="str">
        <f t="shared" si="10"/>
        <v>(2016,'Hunterdon',124976),</v>
      </c>
      <c r="K48" t="str">
        <f t="shared" si="11"/>
        <v>(2016,'Mercer',367929),</v>
      </c>
      <c r="L48" t="str">
        <f t="shared" si="12"/>
        <v>(2016,'Middlesex',825298),</v>
      </c>
      <c r="M48" t="str">
        <f t="shared" si="13"/>
        <v>(2016,'Monmouth',623055),</v>
      </c>
      <c r="N48" t="str">
        <f t="shared" si="14"/>
        <v>(2016,'Morris',493831),</v>
      </c>
      <c r="O48" t="str">
        <f t="shared" si="15"/>
        <v>(2016,'Ocean',591142),</v>
      </c>
      <c r="P48" t="str">
        <f t="shared" si="16"/>
        <v>(2016,'Passaic',504001),</v>
      </c>
      <c r="Q48" t="str">
        <f t="shared" si="17"/>
        <v>(2016,'Salem',63256),</v>
      </c>
      <c r="R48" t="str">
        <f t="shared" si="18"/>
        <v>(2016,'Somerset',330003),</v>
      </c>
      <c r="S48" t="str">
        <f t="shared" si="19"/>
        <v>(2016,'Sussex',142004),</v>
      </c>
      <c r="T48" t="str">
        <f t="shared" si="20"/>
        <v>(2016,'Union',552814),</v>
      </c>
      <c r="U48" t="str">
        <f t="shared" si="21"/>
        <v>(2016,'Warren',106102),</v>
      </c>
    </row>
    <row r="49" spans="1:21" x14ac:dyDescent="0.35">
      <c r="A49" t="str">
        <f t="shared" si="1"/>
        <v>(2017,'Atlantic',265446),</v>
      </c>
      <c r="B49" t="str">
        <f t="shared" si="2"/>
        <v>(2017,'Bergen',932449),</v>
      </c>
      <c r="C49" t="str">
        <f t="shared" si="3"/>
        <v>(2017,'Burlington',446229),</v>
      </c>
      <c r="D49" t="str">
        <f t="shared" si="4"/>
        <v>(2017,'Camden',506488),</v>
      </c>
      <c r="E49" t="str">
        <f t="shared" si="5"/>
        <v>(2017,'Cape May',93283),</v>
      </c>
      <c r="F49" t="str">
        <f t="shared" si="6"/>
        <v>(2017,'Cumberland',151147),</v>
      </c>
      <c r="G49" t="str">
        <f t="shared" si="7"/>
        <v>(2017,'Essex',797222),</v>
      </c>
      <c r="H49" t="str">
        <f t="shared" si="8"/>
        <v>(2017,'Gloucester',291088),</v>
      </c>
      <c r="I49" t="str">
        <f t="shared" si="9"/>
        <v>(2017,'Hudson',672858),</v>
      </c>
      <c r="J49" t="str">
        <f t="shared" si="10"/>
        <v>(2017,'Hunterdon',125076),</v>
      </c>
      <c r="K49" t="str">
        <f t="shared" si="11"/>
        <v>(2017,'Mercer',368489),</v>
      </c>
      <c r="L49" t="str">
        <f t="shared" si="12"/>
        <v>(2017,'Middlesex',826972),</v>
      </c>
      <c r="M49" t="str">
        <f t="shared" si="13"/>
        <v>(2017,'Monmouth',622122),</v>
      </c>
      <c r="N49" t="str">
        <f t="shared" si="14"/>
        <v>(2017,'Morris',493994),</v>
      </c>
      <c r="O49" t="str">
        <f t="shared" si="15"/>
        <v>(2017,'Ocean',595564),</v>
      </c>
      <c r="P49" t="str">
        <f t="shared" si="16"/>
        <v>(2017,'Passaic',504403),</v>
      </c>
      <c r="Q49" t="str">
        <f t="shared" si="17"/>
        <v>(2017,'Salem',62944),</v>
      </c>
      <c r="R49" t="str">
        <f t="shared" si="18"/>
        <v>(2017,'Somerset',330650),</v>
      </c>
      <c r="S49" t="str">
        <f t="shared" si="19"/>
        <v>(2017,'Sussex',141267),</v>
      </c>
      <c r="T49" t="str">
        <f t="shared" si="20"/>
        <v>(2017,'Union',554695),</v>
      </c>
      <c r="U49" t="str">
        <f t="shared" si="21"/>
        <v>(2017,'Warren',105761),</v>
      </c>
    </row>
    <row r="50" spans="1:21" x14ac:dyDescent="0.35">
      <c r="A50" t="str">
        <f t="shared" si="1"/>
        <v>(2018,'Atlantic',263994),</v>
      </c>
      <c r="B50" t="str">
        <f t="shared" si="2"/>
        <v>(2018,'Bergen',932897),</v>
      </c>
      <c r="C50" t="str">
        <f t="shared" si="3"/>
        <v>(2018,'Burlington',445429),</v>
      </c>
      <c r="D50" t="str">
        <f t="shared" si="4"/>
        <v>(2018,'Camden',506685),</v>
      </c>
      <c r="E50" t="str">
        <f t="shared" si="5"/>
        <v>(2018,'Cape May',92604),</v>
      </c>
      <c r="F50" t="str">
        <f t="shared" si="6"/>
        <v>(2018,'Cumberland',150274),</v>
      </c>
      <c r="G50" t="str">
        <f t="shared" si="7"/>
        <v>(2018,'Essex',800530),</v>
      </c>
      <c r="H50" t="str">
        <f t="shared" si="8"/>
        <v>(2018,'Gloucester',291754),</v>
      </c>
      <c r="I50" t="str">
        <f t="shared" si="9"/>
        <v>(2018,'Hudson',672390),</v>
      </c>
      <c r="J50" t="str">
        <f t="shared" si="10"/>
        <v>(2018,'Hunterdon',125265),</v>
      </c>
      <c r="K50" t="str">
        <f t="shared" si="11"/>
        <v>(2018,'Mercer',368720),</v>
      </c>
      <c r="L50" t="str">
        <f t="shared" si="12"/>
        <v>(2018,'Middlesex',825677),</v>
      </c>
      <c r="M50" t="str">
        <f t="shared" si="13"/>
        <v>(2018,'Monmouth',620859),</v>
      </c>
      <c r="N50" t="str">
        <f t="shared" si="14"/>
        <v>(2018,'Morris',493084),</v>
      </c>
      <c r="O50" t="str">
        <f t="shared" si="15"/>
        <v>(2018,'Ocean',601649),</v>
      </c>
      <c r="P50" t="str">
        <f t="shared" si="16"/>
        <v>(2018,'Passaic',503192),</v>
      </c>
      <c r="Q50" t="str">
        <f t="shared" si="17"/>
        <v>(2018,'Salem',62776),</v>
      </c>
      <c r="R50" t="str">
        <f t="shared" si="18"/>
        <v>(2018,'Somerset',330772),</v>
      </c>
      <c r="S50" t="str">
        <f t="shared" si="19"/>
        <v>(2018,'Sussex',140995),</v>
      </c>
      <c r="T50" t="str">
        <f t="shared" si="20"/>
        <v>(2018,'Union',556475),</v>
      </c>
      <c r="U50" t="str">
        <f t="shared" si="21"/>
        <v>(2018,'Warren',105709),</v>
      </c>
    </row>
    <row r="51" spans="1:21" x14ac:dyDescent="0.35">
      <c r="A51" t="str">
        <f t="shared" si="1"/>
        <v>(2019,'Atlantic',263653),</v>
      </c>
      <c r="B51" t="str">
        <f t="shared" si="2"/>
        <v>(2019,'Bergen',932256),</v>
      </c>
      <c r="C51" t="str">
        <f t="shared" si="3"/>
        <v>(2019,'Burlington',446160),</v>
      </c>
      <c r="D51" t="str">
        <f t="shared" si="4"/>
        <v>(2019,'Camden',506503),</v>
      </c>
      <c r="E51" t="str">
        <f t="shared" si="5"/>
        <v>(2019,'Cape May',92247),</v>
      </c>
      <c r="F51" t="str">
        <f t="shared" si="6"/>
        <v>(2019,'Cumberland',148995),</v>
      </c>
      <c r="G51" t="str">
        <f t="shared" si="7"/>
        <v>(2019,'Essex',802162),</v>
      </c>
      <c r="H51" t="str">
        <f t="shared" si="8"/>
        <v>(2019,'Gloucester',291842),</v>
      </c>
      <c r="I51" t="str">
        <f t="shared" si="9"/>
        <v>(2019,'Hudson',674030),</v>
      </c>
      <c r="J51" t="str">
        <f t="shared" si="10"/>
        <v>(2019,'Hunterdon',125201),</v>
      </c>
      <c r="K51" t="str">
        <f t="shared" si="11"/>
        <v>(2019,'Mercer',368047),</v>
      </c>
      <c r="L51" t="str">
        <f t="shared" si="12"/>
        <v>(2019,'Middlesex',824394),</v>
      </c>
      <c r="M51" t="str">
        <f t="shared" si="13"/>
        <v>(2019,'Monmouth',619687),</v>
      </c>
      <c r="N51" t="str">
        <f t="shared" si="14"/>
        <v>(2019,'Morris',491577),</v>
      </c>
      <c r="O51" t="str">
        <f t="shared" si="15"/>
        <v>(2019,'Ocean',607498),</v>
      </c>
      <c r="P51" t="str">
        <f t="shared" si="16"/>
        <v>(2019,'Passaic',501838),</v>
      </c>
      <c r="Q51" t="str">
        <f t="shared" si="17"/>
        <v>(2019,'Salem',62341),</v>
      </c>
      <c r="R51" t="str">
        <f t="shared" si="18"/>
        <v>(2019,'Somerset',329998),</v>
      </c>
      <c r="S51" t="str">
        <f t="shared" si="19"/>
        <v>(2019,'Sussex',140710),</v>
      </c>
      <c r="T51" t="str">
        <f t="shared" si="20"/>
        <v>(2019,'Union',556664),</v>
      </c>
      <c r="U51" t="str">
        <f t="shared" si="21"/>
        <v>(2019,'Warren',105455),</v>
      </c>
    </row>
    <row r="52" spans="1:21" x14ac:dyDescent="0.35">
      <c r="A52" t="str">
        <f t="shared" si="1"/>
        <v>(2020,'Atlantic',274172),</v>
      </c>
      <c r="B52" t="str">
        <f t="shared" si="2"/>
        <v>(2020,'Bergen',953617),</v>
      </c>
      <c r="C52" t="str">
        <f t="shared" si="3"/>
        <v>(2020,'Burlington',461648),</v>
      </c>
      <c r="D52" t="str">
        <f t="shared" si="4"/>
        <v>(2020,'Camden',523074),</v>
      </c>
      <c r="E52" t="str">
        <f t="shared" si="5"/>
        <v>(2020,'Cape May',95040),</v>
      </c>
      <c r="F52" t="str">
        <f t="shared" si="6"/>
        <v>(2020,'Cumberland',153692),</v>
      </c>
      <c r="G52" t="str">
        <f t="shared" si="7"/>
        <v>(2020,'Essex',859924),</v>
      </c>
      <c r="H52" t="str">
        <f t="shared" si="8"/>
        <v>(2020,'Gloucester',302554),</v>
      </c>
      <c r="I52" t="str">
        <f t="shared" si="9"/>
        <v>(2020,'Hudson',721832),</v>
      </c>
      <c r="J52" t="str">
        <f t="shared" si="10"/>
        <v>(2020,'Hunterdon',128786),</v>
      </c>
      <c r="K52" t="str">
        <f t="shared" si="11"/>
        <v>(2020,'Mercer',386441),</v>
      </c>
      <c r="L52" t="str">
        <f t="shared" si="12"/>
        <v>(2020,'Middlesex',861314),</v>
      </c>
      <c r="M52" t="str">
        <f t="shared" si="13"/>
        <v>(2020,'Monmouth',642771),</v>
      </c>
      <c r="N52" t="str">
        <f t="shared" si="14"/>
        <v>(2020,'Morris',508384),</v>
      </c>
      <c r="O52" t="str">
        <f t="shared" si="15"/>
        <v>(2020,'Ocean',638422),</v>
      </c>
      <c r="P52" t="str">
        <f t="shared" si="16"/>
        <v>(2020,'Passaic',523406),</v>
      </c>
      <c r="Q52" t="str">
        <f t="shared" si="17"/>
        <v>(2020,'Salem',64842),</v>
      </c>
      <c r="R52" t="str">
        <f t="shared" si="18"/>
        <v>(2020,'Somerset',344725),</v>
      </c>
      <c r="S52" t="str">
        <f t="shared" si="19"/>
        <v>(2020,'Sussex',143915),</v>
      </c>
      <c r="T52" t="str">
        <f t="shared" si="20"/>
        <v>(2020,'Union',573617),</v>
      </c>
      <c r="U52" t="str">
        <f t="shared" si="21"/>
        <v>(2020,'Warren',109513),</v>
      </c>
    </row>
    <row r="53" spans="1:21" x14ac:dyDescent="0.35">
      <c r="A53" t="str">
        <f t="shared" si="1"/>
        <v>(2021,'Atlantic',275130),</v>
      </c>
      <c r="B53" t="str">
        <f t="shared" si="2"/>
        <v>(2021,'Bergen',954879),</v>
      </c>
      <c r="C53" t="str">
        <f t="shared" si="3"/>
        <v>(2021,'Burlington',464411),</v>
      </c>
      <c r="D53" t="str">
        <f t="shared" si="4"/>
        <v>(2021,'Camden',524124),</v>
      </c>
      <c r="E53" t="str">
        <f t="shared" si="5"/>
        <v>(2021,'Cape May',95768),</v>
      </c>
      <c r="F53" t="str">
        <f t="shared" si="6"/>
        <v>(2021,'Cumberland',152089),</v>
      </c>
      <c r="G53" t="str">
        <f t="shared" si="7"/>
        <v>(2021,'Essex',854121),</v>
      </c>
      <c r="H53" t="str">
        <f t="shared" si="8"/>
        <v>(2021,'Gloucester',304620),</v>
      </c>
      <c r="I53" t="str">
        <f t="shared" si="9"/>
        <v>(2021,'Hudson',703447),</v>
      </c>
      <c r="J53" t="str">
        <f t="shared" si="10"/>
        <v>(2021,'Hunterdon',129668),</v>
      </c>
      <c r="K53" t="str">
        <f t="shared" si="11"/>
        <v>(2021,'Mercer',382116),</v>
      </c>
      <c r="L53" t="str">
        <f t="shared" si="12"/>
        <v>(2021,'Middlesex',862328),</v>
      </c>
      <c r="M53" t="str">
        <f t="shared" si="13"/>
        <v>(2021,'Monmouth',646392),</v>
      </c>
      <c r="N53" t="str">
        <f t="shared" si="14"/>
        <v>(2021,'Morris',510444),</v>
      </c>
      <c r="O53" t="str">
        <f t="shared" si="15"/>
        <v>(2021,'Ocean',649741),</v>
      </c>
      <c r="P53" t="str">
        <f t="shared" si="16"/>
        <v>(2021,'Passaic',518345),</v>
      </c>
      <c r="Q53" t="str">
        <f t="shared" si="17"/>
        <v>(2021,'Salem',65058),</v>
      </c>
      <c r="R53" t="str">
        <f t="shared" si="18"/>
        <v>(2021,'Somerset',346331),</v>
      </c>
      <c r="S53" t="str">
        <f t="shared" si="19"/>
        <v>(2021,'Sussex',145645),</v>
      </c>
      <c r="T53" t="str">
        <f t="shared" si="20"/>
        <v>(2021,'Union',572810),</v>
      </c>
      <c r="U53" t="str">
        <f t="shared" si="21"/>
        <v>(2021,'Warren',110494),</v>
      </c>
    </row>
    <row r="54" spans="1:21" x14ac:dyDescent="0.35">
      <c r="A54" t="str">
        <f>"("&amp;$A24&amp;",'"&amp;B$9&amp;"',"&amp;IF(LEN(B24)&gt;0,B24,"NULL")&amp;")"&amp;IF(LEN($A25)+LEN(C$9)&gt;0,",",";")</f>
        <v>(2022,'Atlantic',275638),</v>
      </c>
      <c r="B54" t="str">
        <f t="shared" si="2"/>
        <v>(2022,'Bergen',952997),</v>
      </c>
      <c r="C54" t="str">
        <f t="shared" si="3"/>
        <v>(2022,'Burlington',466103),</v>
      </c>
      <c r="D54" t="str">
        <f t="shared" si="4"/>
        <v>(2022,'Camden',524907),</v>
      </c>
      <c r="E54" t="str">
        <f t="shared" si="5"/>
        <v>(2022,'Cape May',95634),</v>
      </c>
      <c r="F54" t="str">
        <f t="shared" si="6"/>
        <v>(2022,'Cumberland',151356),</v>
      </c>
      <c r="G54" t="str">
        <f t="shared" si="7"/>
        <v>(2022,'Essex',849477),</v>
      </c>
      <c r="H54" t="str">
        <f t="shared" si="8"/>
        <v>(2022,'Gloucester',306601),</v>
      </c>
      <c r="I54" t="str">
        <f t="shared" si="9"/>
        <v>(2022,'Hudson',703366),</v>
      </c>
      <c r="J54" t="str">
        <f t="shared" si="10"/>
        <v>(2022,'Hunterdon',129777),</v>
      </c>
      <c r="K54" t="str">
        <f t="shared" si="11"/>
        <v>(2022,'Mercer',380688),</v>
      </c>
      <c r="L54" t="str">
        <f t="shared" si="12"/>
        <v>(2022,'Middlesex',861418),</v>
      </c>
      <c r="M54" t="str">
        <f t="shared" si="13"/>
        <v>(2022,'Monmouth',644098),</v>
      </c>
      <c r="N54" t="str">
        <f t="shared" si="14"/>
        <v>(2022,'Morris',511151),</v>
      </c>
      <c r="O54" t="str">
        <f t="shared" si="15"/>
        <v>(2022,'Ocean',655735),</v>
      </c>
      <c r="P54" t="str">
        <f t="shared" si="16"/>
        <v>(2022,'Passaic',513936),</v>
      </c>
      <c r="Q54" t="str">
        <f t="shared" si="17"/>
        <v>(2022,'Salem',65117),</v>
      </c>
      <c r="R54" t="str">
        <f t="shared" si="18"/>
        <v>(2022,'Somerset',346875),</v>
      </c>
      <c r="S54" t="str">
        <f t="shared" si="19"/>
        <v>(2022,'Sussex',146084),</v>
      </c>
      <c r="T54" t="str">
        <f t="shared" si="20"/>
        <v>(2022,'Union',569815),</v>
      </c>
      <c r="U54" t="str">
        <f t="shared" si="21"/>
        <v>(2022,'Warren',110926);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1"/>
  <sheetViews>
    <sheetView tabSelected="1" topLeftCell="A22" zoomScale="70" zoomScaleNormal="70" workbookViewId="0">
      <selection activeCell="J49" sqref="J49"/>
    </sheetView>
  </sheetViews>
  <sheetFormatPr defaultColWidth="8.75" defaultRowHeight="18" x14ac:dyDescent="0.35"/>
  <cols>
    <col min="20" max="20" width="21" bestFit="1" customWidth="1"/>
  </cols>
  <sheetData>
    <row r="1" spans="1:22" x14ac:dyDescent="0.35">
      <c r="A1" t="s">
        <v>0</v>
      </c>
      <c r="B1" t="s">
        <v>35</v>
      </c>
    </row>
    <row r="2" spans="1:22" x14ac:dyDescent="0.35">
      <c r="A2" t="s">
        <v>1</v>
      </c>
      <c r="B2" t="s">
        <v>2</v>
      </c>
    </row>
    <row r="3" spans="1:22" x14ac:dyDescent="0.35">
      <c r="A3" t="s">
        <v>3</v>
      </c>
      <c r="B3" t="s">
        <v>36</v>
      </c>
    </row>
    <row r="4" spans="1:22" x14ac:dyDescent="0.35">
      <c r="A4" t="s">
        <v>4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5</v>
      </c>
      <c r="N4" t="s">
        <v>5</v>
      </c>
      <c r="O4" t="s">
        <v>5</v>
      </c>
      <c r="P4" t="s">
        <v>5</v>
      </c>
      <c r="Q4" t="s">
        <v>5</v>
      </c>
      <c r="R4" t="s">
        <v>5</v>
      </c>
      <c r="S4" t="s">
        <v>5</v>
      </c>
      <c r="T4" t="s">
        <v>5</v>
      </c>
      <c r="U4" t="s">
        <v>5</v>
      </c>
      <c r="V4" t="s">
        <v>5</v>
      </c>
    </row>
    <row r="5" spans="1:22" x14ac:dyDescent="0.35">
      <c r="A5" t="s">
        <v>6</v>
      </c>
      <c r="B5" t="s">
        <v>37</v>
      </c>
    </row>
    <row r="6" spans="1:22" x14ac:dyDescent="0.35">
      <c r="A6" t="s">
        <v>7</v>
      </c>
      <c r="B6">
        <v>22</v>
      </c>
    </row>
    <row r="7" spans="1:22" x14ac:dyDescent="0.35">
      <c r="A7" t="s">
        <v>8</v>
      </c>
      <c r="B7">
        <v>11</v>
      </c>
    </row>
    <row r="8" spans="1:22" x14ac:dyDescent="0.35">
      <c r="A8" t="s">
        <v>9</v>
      </c>
    </row>
    <row r="9" spans="1:22" x14ac:dyDescent="0.35">
      <c r="A9" t="s">
        <v>33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21</v>
      </c>
      <c r="L9" t="s">
        <v>22</v>
      </c>
      <c r="M9" t="s">
        <v>23</v>
      </c>
      <c r="N9" t="s">
        <v>24</v>
      </c>
      <c r="O9" t="s">
        <v>25</v>
      </c>
      <c r="P9" t="s">
        <v>26</v>
      </c>
      <c r="Q9" t="s">
        <v>27</v>
      </c>
      <c r="R9" t="s">
        <v>28</v>
      </c>
      <c r="S9" t="s">
        <v>29</v>
      </c>
      <c r="T9" t="s">
        <v>30</v>
      </c>
      <c r="U9" t="s">
        <v>31</v>
      </c>
      <c r="V9" t="s">
        <v>32</v>
      </c>
    </row>
    <row r="10" spans="1:22" x14ac:dyDescent="0.35">
      <c r="A10">
        <v>2012</v>
      </c>
      <c r="B10">
        <v>10</v>
      </c>
      <c r="C10">
        <v>30</v>
      </c>
      <c r="D10">
        <v>14</v>
      </c>
      <c r="E10">
        <v>23</v>
      </c>
      <c r="G10">
        <v>6</v>
      </c>
      <c r="H10">
        <v>39</v>
      </c>
      <c r="I10">
        <v>9</v>
      </c>
      <c r="J10">
        <v>21</v>
      </c>
      <c r="L10">
        <v>10</v>
      </c>
      <c r="M10">
        <v>22</v>
      </c>
      <c r="N10">
        <v>15</v>
      </c>
      <c r="O10">
        <v>14</v>
      </c>
      <c r="P10">
        <v>9</v>
      </c>
      <c r="Q10">
        <v>19</v>
      </c>
      <c r="S10">
        <v>8</v>
      </c>
      <c r="U10">
        <v>20</v>
      </c>
    </row>
    <row r="11" spans="1:22" x14ac:dyDescent="0.35">
      <c r="A11">
        <v>2013</v>
      </c>
      <c r="B11">
        <v>10</v>
      </c>
      <c r="C11">
        <v>26</v>
      </c>
      <c r="D11">
        <v>20</v>
      </c>
      <c r="E11">
        <v>30</v>
      </c>
      <c r="G11">
        <v>6</v>
      </c>
      <c r="H11">
        <v>47</v>
      </c>
      <c r="I11">
        <v>13</v>
      </c>
      <c r="J11">
        <v>39</v>
      </c>
      <c r="L11">
        <v>9</v>
      </c>
      <c r="M11">
        <v>20</v>
      </c>
      <c r="N11">
        <v>21</v>
      </c>
      <c r="O11">
        <v>17</v>
      </c>
      <c r="P11">
        <v>12</v>
      </c>
      <c r="Q11">
        <v>21</v>
      </c>
      <c r="S11">
        <v>6</v>
      </c>
      <c r="T11">
        <v>7</v>
      </c>
      <c r="U11">
        <v>16</v>
      </c>
    </row>
    <row r="12" spans="1:22" x14ac:dyDescent="0.35">
      <c r="A12">
        <v>2014</v>
      </c>
      <c r="B12">
        <v>12</v>
      </c>
      <c r="C12">
        <v>49</v>
      </c>
      <c r="D12">
        <v>25</v>
      </c>
      <c r="E12">
        <v>43</v>
      </c>
      <c r="G12">
        <v>6</v>
      </c>
      <c r="H12">
        <v>63</v>
      </c>
      <c r="I12">
        <v>16</v>
      </c>
      <c r="J12">
        <v>80</v>
      </c>
      <c r="L12">
        <v>14</v>
      </c>
      <c r="M12">
        <v>29</v>
      </c>
      <c r="N12">
        <v>31</v>
      </c>
      <c r="O12">
        <v>23</v>
      </c>
      <c r="P12">
        <v>19</v>
      </c>
      <c r="Q12">
        <v>26</v>
      </c>
      <c r="S12">
        <v>12</v>
      </c>
      <c r="U12">
        <v>34</v>
      </c>
    </row>
    <row r="13" spans="1:22" x14ac:dyDescent="0.35">
      <c r="A13">
        <v>2015</v>
      </c>
      <c r="B13">
        <v>38</v>
      </c>
      <c r="C13">
        <v>111</v>
      </c>
      <c r="D13">
        <v>61</v>
      </c>
      <c r="E13">
        <v>88</v>
      </c>
      <c r="F13">
        <v>10</v>
      </c>
      <c r="G13">
        <v>12</v>
      </c>
      <c r="H13">
        <v>137</v>
      </c>
      <c r="I13">
        <v>38</v>
      </c>
      <c r="J13">
        <v>214</v>
      </c>
      <c r="K13">
        <v>11</v>
      </c>
      <c r="L13">
        <v>42</v>
      </c>
      <c r="M13">
        <v>76</v>
      </c>
      <c r="N13">
        <v>67</v>
      </c>
      <c r="O13">
        <v>58</v>
      </c>
      <c r="P13">
        <v>43</v>
      </c>
      <c r="Q13">
        <v>66</v>
      </c>
      <c r="R13">
        <v>8</v>
      </c>
      <c r="S13">
        <v>34</v>
      </c>
      <c r="T13">
        <v>11</v>
      </c>
      <c r="U13">
        <v>79</v>
      </c>
      <c r="V13">
        <v>7</v>
      </c>
    </row>
    <row r="14" spans="1:22" x14ac:dyDescent="0.35">
      <c r="A14">
        <v>2016</v>
      </c>
      <c r="B14">
        <v>59</v>
      </c>
      <c r="C14">
        <v>207</v>
      </c>
      <c r="D14">
        <v>97</v>
      </c>
      <c r="E14">
        <v>131</v>
      </c>
      <c r="F14">
        <v>16</v>
      </c>
      <c r="G14">
        <v>18</v>
      </c>
      <c r="H14">
        <v>273</v>
      </c>
      <c r="I14">
        <v>59</v>
      </c>
      <c r="J14">
        <v>395</v>
      </c>
      <c r="K14">
        <v>22</v>
      </c>
      <c r="L14">
        <v>76</v>
      </c>
      <c r="M14">
        <v>160</v>
      </c>
      <c r="N14">
        <v>152</v>
      </c>
      <c r="O14">
        <v>108</v>
      </c>
      <c r="P14">
        <v>89</v>
      </c>
      <c r="Q14">
        <v>107</v>
      </c>
      <c r="R14">
        <v>12</v>
      </c>
      <c r="S14">
        <v>69</v>
      </c>
      <c r="T14">
        <v>19</v>
      </c>
      <c r="U14">
        <v>159</v>
      </c>
      <c r="V14">
        <v>14</v>
      </c>
    </row>
    <row r="15" spans="1:22" x14ac:dyDescent="0.35">
      <c r="A15">
        <v>2017</v>
      </c>
      <c r="B15">
        <v>63</v>
      </c>
      <c r="C15">
        <v>323</v>
      </c>
      <c r="D15">
        <v>148</v>
      </c>
      <c r="E15">
        <v>192</v>
      </c>
      <c r="F15">
        <v>18</v>
      </c>
      <c r="G15">
        <v>41</v>
      </c>
      <c r="H15">
        <v>385</v>
      </c>
      <c r="I15">
        <v>90</v>
      </c>
      <c r="J15">
        <v>561</v>
      </c>
      <c r="K15">
        <v>36</v>
      </c>
      <c r="L15">
        <v>143</v>
      </c>
      <c r="M15">
        <v>250</v>
      </c>
      <c r="N15">
        <v>260</v>
      </c>
      <c r="O15">
        <v>159</v>
      </c>
      <c r="P15">
        <v>142</v>
      </c>
      <c r="Q15">
        <v>175</v>
      </c>
      <c r="R15">
        <v>20</v>
      </c>
      <c r="S15">
        <v>105</v>
      </c>
      <c r="T15">
        <v>33</v>
      </c>
      <c r="U15">
        <v>231</v>
      </c>
      <c r="V15">
        <v>24</v>
      </c>
    </row>
    <row r="16" spans="1:22" x14ac:dyDescent="0.35">
      <c r="A16">
        <v>2018</v>
      </c>
      <c r="B16">
        <v>83</v>
      </c>
      <c r="C16">
        <v>458</v>
      </c>
      <c r="D16">
        <v>199</v>
      </c>
      <c r="E16">
        <v>253</v>
      </c>
      <c r="F16">
        <v>23</v>
      </c>
      <c r="G16">
        <v>47</v>
      </c>
      <c r="H16">
        <v>572</v>
      </c>
      <c r="I16">
        <v>121</v>
      </c>
      <c r="J16">
        <v>759</v>
      </c>
      <c r="K16">
        <v>51</v>
      </c>
      <c r="L16">
        <v>187</v>
      </c>
      <c r="M16">
        <v>362</v>
      </c>
      <c r="N16">
        <v>318</v>
      </c>
      <c r="O16">
        <v>221</v>
      </c>
      <c r="P16">
        <v>161</v>
      </c>
      <c r="Q16">
        <v>245</v>
      </c>
      <c r="R16">
        <v>26</v>
      </c>
      <c r="S16">
        <v>146</v>
      </c>
      <c r="T16">
        <v>49</v>
      </c>
      <c r="U16">
        <v>342</v>
      </c>
      <c r="V16">
        <v>35</v>
      </c>
    </row>
    <row r="17" spans="1:22" x14ac:dyDescent="0.35">
      <c r="A17">
        <v>2019</v>
      </c>
      <c r="B17">
        <v>124</v>
      </c>
      <c r="C17">
        <v>568</v>
      </c>
      <c r="D17">
        <v>236</v>
      </c>
      <c r="E17">
        <v>307</v>
      </c>
      <c r="F17">
        <v>37</v>
      </c>
      <c r="G17">
        <v>57</v>
      </c>
      <c r="H17">
        <v>687</v>
      </c>
      <c r="I17">
        <v>141</v>
      </c>
      <c r="J17">
        <v>966</v>
      </c>
      <c r="K17">
        <v>63</v>
      </c>
      <c r="L17">
        <v>252</v>
      </c>
      <c r="M17">
        <v>472</v>
      </c>
      <c r="N17">
        <v>383</v>
      </c>
      <c r="O17">
        <v>270</v>
      </c>
      <c r="P17">
        <v>210</v>
      </c>
      <c r="Q17">
        <v>299</v>
      </c>
      <c r="R17">
        <v>31</v>
      </c>
      <c r="S17">
        <v>182</v>
      </c>
      <c r="T17">
        <v>57</v>
      </c>
      <c r="U17">
        <v>434</v>
      </c>
      <c r="V17">
        <v>41</v>
      </c>
    </row>
    <row r="18" spans="1:22" x14ac:dyDescent="0.35">
      <c r="A18">
        <v>2020</v>
      </c>
      <c r="B18">
        <v>141</v>
      </c>
      <c r="C18">
        <v>587</v>
      </c>
      <c r="D18">
        <v>244</v>
      </c>
      <c r="E18">
        <v>310</v>
      </c>
      <c r="F18">
        <v>40</v>
      </c>
      <c r="G18">
        <v>56</v>
      </c>
      <c r="H18">
        <v>692</v>
      </c>
      <c r="I18">
        <v>148</v>
      </c>
      <c r="J18">
        <v>999</v>
      </c>
      <c r="K18">
        <v>68</v>
      </c>
      <c r="L18">
        <v>233</v>
      </c>
      <c r="M18">
        <v>516</v>
      </c>
      <c r="N18">
        <v>401</v>
      </c>
      <c r="O18">
        <v>311</v>
      </c>
      <c r="P18">
        <v>201</v>
      </c>
      <c r="Q18">
        <v>309</v>
      </c>
      <c r="R18">
        <v>32</v>
      </c>
      <c r="S18">
        <v>197</v>
      </c>
      <c r="T18">
        <v>71</v>
      </c>
      <c r="U18">
        <v>434</v>
      </c>
      <c r="V18">
        <v>51</v>
      </c>
    </row>
    <row r="19" spans="1:22" x14ac:dyDescent="0.35">
      <c r="A19">
        <v>2021</v>
      </c>
      <c r="B19">
        <v>185</v>
      </c>
      <c r="C19">
        <v>728</v>
      </c>
      <c r="D19">
        <v>301</v>
      </c>
      <c r="E19">
        <v>355</v>
      </c>
      <c r="F19">
        <v>61</v>
      </c>
      <c r="G19">
        <v>62</v>
      </c>
      <c r="H19">
        <v>829</v>
      </c>
      <c r="I19">
        <v>182</v>
      </c>
      <c r="J19">
        <v>1253</v>
      </c>
      <c r="K19">
        <v>84</v>
      </c>
      <c r="L19">
        <v>308</v>
      </c>
      <c r="M19">
        <v>633</v>
      </c>
      <c r="N19">
        <v>481</v>
      </c>
      <c r="O19">
        <v>380</v>
      </c>
      <c r="P19">
        <v>250</v>
      </c>
      <c r="Q19">
        <v>397</v>
      </c>
      <c r="R19">
        <v>39</v>
      </c>
      <c r="S19">
        <v>238</v>
      </c>
      <c r="T19">
        <v>93</v>
      </c>
      <c r="U19">
        <v>523</v>
      </c>
      <c r="V19">
        <v>67</v>
      </c>
    </row>
    <row r="20" spans="1:22" x14ac:dyDescent="0.35">
      <c r="A20">
        <v>2022</v>
      </c>
      <c r="B20">
        <v>215</v>
      </c>
      <c r="C20">
        <v>914</v>
      </c>
      <c r="D20">
        <v>381</v>
      </c>
      <c r="E20">
        <v>478</v>
      </c>
      <c r="F20">
        <v>70</v>
      </c>
      <c r="G20">
        <v>81</v>
      </c>
      <c r="H20">
        <v>1012</v>
      </c>
      <c r="I20">
        <v>230</v>
      </c>
      <c r="J20">
        <v>1502</v>
      </c>
      <c r="K20">
        <v>106</v>
      </c>
      <c r="L20">
        <v>371</v>
      </c>
      <c r="M20">
        <v>794</v>
      </c>
      <c r="N20">
        <v>575</v>
      </c>
      <c r="O20">
        <v>463</v>
      </c>
      <c r="P20">
        <v>344</v>
      </c>
      <c r="Q20">
        <v>480</v>
      </c>
      <c r="R20">
        <v>50</v>
      </c>
      <c r="S20">
        <v>297</v>
      </c>
      <c r="T20">
        <v>111</v>
      </c>
      <c r="U20">
        <v>646</v>
      </c>
      <c r="V20">
        <v>82</v>
      </c>
    </row>
    <row r="21" spans="1:22" x14ac:dyDescent="0.35">
      <c r="A21" t="s">
        <v>9</v>
      </c>
    </row>
    <row r="22" spans="1:22" x14ac:dyDescent="0.35">
      <c r="A22" t="s">
        <v>9</v>
      </c>
    </row>
    <row r="23" spans="1:22" x14ac:dyDescent="0.35">
      <c r="A23" t="s">
        <v>9</v>
      </c>
    </row>
    <row r="24" spans="1:22" x14ac:dyDescent="0.35">
      <c r="A24" t="s">
        <v>10</v>
      </c>
      <c r="B24" t="s">
        <v>34</v>
      </c>
    </row>
    <row r="25" spans="1:22" x14ac:dyDescent="0.35">
      <c r="A25" t="s">
        <v>11</v>
      </c>
      <c r="B25" t="s">
        <v>38</v>
      </c>
    </row>
    <row r="33" spans="1:21" x14ac:dyDescent="0.35">
      <c r="A33" t="s">
        <v>76</v>
      </c>
    </row>
    <row r="34" spans="1:21" x14ac:dyDescent="0.35">
      <c r="A34" t="s">
        <v>77</v>
      </c>
    </row>
    <row r="35" spans="1:21" x14ac:dyDescent="0.35">
      <c r="A35" t="s">
        <v>66</v>
      </c>
    </row>
    <row r="36" spans="1:21" x14ac:dyDescent="0.35">
      <c r="A36" t="s">
        <v>69</v>
      </c>
    </row>
    <row r="37" spans="1:21" x14ac:dyDescent="0.35">
      <c r="A37" t="s">
        <v>79</v>
      </c>
    </row>
    <row r="38" spans="1:21" x14ac:dyDescent="0.35">
      <c r="A38" t="s">
        <v>67</v>
      </c>
    </row>
    <row r="39" spans="1:21" x14ac:dyDescent="0.35">
      <c r="A39" t="s">
        <v>68</v>
      </c>
    </row>
    <row r="40" spans="1:21" x14ac:dyDescent="0.35">
      <c r="A40" t="s">
        <v>78</v>
      </c>
    </row>
    <row r="41" spans="1:21" x14ac:dyDescent="0.35">
      <c r="A41" t="str">
        <f>"("&amp;$A10&amp;",'"&amp;B$9&amp;"',"&amp;IF(LEN(B10)&gt;0,B10,"NULL")&amp;")"&amp;IF(LEN($A11)+LEN(C$9)&gt;0,",",";")</f>
        <v>(2012,'Atlantic',10),</v>
      </c>
      <c r="B41" t="str">
        <f t="shared" ref="B41:U41" si="0">"("&amp;$A10&amp;",'"&amp;C$9&amp;"',"&amp;IF(LEN(C10)&gt;0,C10,"NULL")&amp;")"&amp;IF(LEN($A11)+LEN(D$9)&gt;0,",",";")</f>
        <v>(2012,'Bergen',30),</v>
      </c>
      <c r="C41" t="str">
        <f t="shared" si="0"/>
        <v>(2012,'Burlington',14),</v>
      </c>
      <c r="D41" t="str">
        <f t="shared" si="0"/>
        <v>(2012,'Camden',23),</v>
      </c>
      <c r="E41" t="str">
        <f t="shared" si="0"/>
        <v>(2012,'Cape May',NULL),</v>
      </c>
      <c r="F41" t="str">
        <f t="shared" si="0"/>
        <v>(2012,'Cumberland',6),</v>
      </c>
      <c r="G41" t="str">
        <f t="shared" si="0"/>
        <v>(2012,'Essex',39),</v>
      </c>
      <c r="H41" t="str">
        <f t="shared" si="0"/>
        <v>(2012,'Gloucester',9),</v>
      </c>
      <c r="I41" t="str">
        <f t="shared" si="0"/>
        <v>(2012,'Hudson',21),</v>
      </c>
      <c r="J41" t="str">
        <f t="shared" si="0"/>
        <v>(2012,'Hunterdon',NULL),</v>
      </c>
      <c r="K41" t="str">
        <f t="shared" si="0"/>
        <v>(2012,'Mercer',10),</v>
      </c>
      <c r="L41" t="str">
        <f t="shared" si="0"/>
        <v>(2012,'Middlesex',22),</v>
      </c>
      <c r="M41" t="str">
        <f t="shared" si="0"/>
        <v>(2012,'Monmouth',15),</v>
      </c>
      <c r="N41" t="str">
        <f t="shared" si="0"/>
        <v>(2012,'Morris',14),</v>
      </c>
      <c r="O41" t="str">
        <f t="shared" si="0"/>
        <v>(2012,'Ocean',9),</v>
      </c>
      <c r="P41" t="str">
        <f t="shared" si="0"/>
        <v>(2012,'Passaic',19),</v>
      </c>
      <c r="Q41" t="str">
        <f t="shared" si="0"/>
        <v>(2012,'Salem',NULL),</v>
      </c>
      <c r="R41" t="str">
        <f t="shared" si="0"/>
        <v>(2012,'Somerset',8),</v>
      </c>
      <c r="S41" t="str">
        <f t="shared" si="0"/>
        <v>(2012,'Sussex',NULL),</v>
      </c>
      <c r="T41" t="str">
        <f t="shared" si="0"/>
        <v>(2012,'Union',20),</v>
      </c>
      <c r="U41" t="str">
        <f t="shared" si="0"/>
        <v>(2012,'Warren',NULL),</v>
      </c>
    </row>
    <row r="42" spans="1:21" x14ac:dyDescent="0.35">
      <c r="A42" t="str">
        <f t="shared" ref="A42:A55" si="1">"("&amp;$A11&amp;",'"&amp;B$9&amp;"',"&amp;IF(LEN(B11)&gt;0,B11,"NULL")&amp;")"&amp;IF(LEN($A12)+LEN(C$9)&gt;0,",",";")</f>
        <v>(2013,'Atlantic',10),</v>
      </c>
      <c r="B42" t="str">
        <f t="shared" ref="B42:B55" si="2">"("&amp;$A11&amp;",'"&amp;C$9&amp;"',"&amp;IF(LEN(C11)&gt;0,C11,"NULL")&amp;")"&amp;IF(LEN($A12)+LEN(D$9)&gt;0,",",";")</f>
        <v>(2013,'Bergen',26),</v>
      </c>
      <c r="C42" t="str">
        <f t="shared" ref="C42:C55" si="3">"("&amp;$A11&amp;",'"&amp;D$9&amp;"',"&amp;IF(LEN(D11)&gt;0,D11,"NULL")&amp;")"&amp;IF(LEN($A12)+LEN(E$9)&gt;0,",",";")</f>
        <v>(2013,'Burlington',20),</v>
      </c>
      <c r="D42" t="str">
        <f t="shared" ref="D42:D55" si="4">"("&amp;$A11&amp;",'"&amp;E$9&amp;"',"&amp;IF(LEN(E11)&gt;0,E11,"NULL")&amp;")"&amp;IF(LEN($A12)+LEN(F$9)&gt;0,",",";")</f>
        <v>(2013,'Camden',30),</v>
      </c>
      <c r="E42" t="str">
        <f t="shared" ref="E42:E55" si="5">"("&amp;$A11&amp;",'"&amp;F$9&amp;"',"&amp;IF(LEN(F11)&gt;0,F11,"NULL")&amp;")"&amp;IF(LEN($A12)+LEN(G$9)&gt;0,",",";")</f>
        <v>(2013,'Cape May',NULL),</v>
      </c>
      <c r="F42" t="str">
        <f t="shared" ref="F42:F55" si="6">"("&amp;$A11&amp;",'"&amp;G$9&amp;"',"&amp;IF(LEN(G11)&gt;0,G11,"NULL")&amp;")"&amp;IF(LEN($A12)+LEN(H$9)&gt;0,",",";")</f>
        <v>(2013,'Cumberland',6),</v>
      </c>
      <c r="G42" t="str">
        <f t="shared" ref="G42:G55" si="7">"("&amp;$A11&amp;",'"&amp;H$9&amp;"',"&amp;IF(LEN(H11)&gt;0,H11,"NULL")&amp;")"&amp;IF(LEN($A12)+LEN(I$9)&gt;0,",",";")</f>
        <v>(2013,'Essex',47),</v>
      </c>
      <c r="H42" t="str">
        <f t="shared" ref="H42:H55" si="8">"("&amp;$A11&amp;",'"&amp;I$9&amp;"',"&amp;IF(LEN(I11)&gt;0,I11,"NULL")&amp;")"&amp;IF(LEN($A12)+LEN(J$9)&gt;0,",",";")</f>
        <v>(2013,'Gloucester',13),</v>
      </c>
      <c r="I42" t="str">
        <f t="shared" ref="I42:I55" si="9">"("&amp;$A11&amp;",'"&amp;J$9&amp;"',"&amp;IF(LEN(J11)&gt;0,J11,"NULL")&amp;")"&amp;IF(LEN($A12)+LEN(K$9)&gt;0,",",";")</f>
        <v>(2013,'Hudson',39),</v>
      </c>
      <c r="J42" t="str">
        <f t="shared" ref="J42:J55" si="10">"("&amp;$A11&amp;",'"&amp;K$9&amp;"',"&amp;IF(LEN(K11)&gt;0,K11,"NULL")&amp;")"&amp;IF(LEN($A12)+LEN(L$9)&gt;0,",",";")</f>
        <v>(2013,'Hunterdon',NULL),</v>
      </c>
      <c r="K42" t="str">
        <f t="shared" ref="K42:K55" si="11">"("&amp;$A11&amp;",'"&amp;L$9&amp;"',"&amp;IF(LEN(L11)&gt;0,L11,"NULL")&amp;")"&amp;IF(LEN($A12)+LEN(M$9)&gt;0,",",";")</f>
        <v>(2013,'Mercer',9),</v>
      </c>
      <c r="L42" t="str">
        <f t="shared" ref="L42:L55" si="12">"("&amp;$A11&amp;",'"&amp;M$9&amp;"',"&amp;IF(LEN(M11)&gt;0,M11,"NULL")&amp;")"&amp;IF(LEN($A12)+LEN(N$9)&gt;0,",",";")</f>
        <v>(2013,'Middlesex',20),</v>
      </c>
      <c r="M42" t="str">
        <f t="shared" ref="M42:M55" si="13">"("&amp;$A11&amp;",'"&amp;N$9&amp;"',"&amp;IF(LEN(N11)&gt;0,N11,"NULL")&amp;")"&amp;IF(LEN($A12)+LEN(O$9)&gt;0,",",";")</f>
        <v>(2013,'Monmouth',21),</v>
      </c>
      <c r="N42" t="str">
        <f t="shared" ref="N42:N55" si="14">"("&amp;$A11&amp;",'"&amp;O$9&amp;"',"&amp;IF(LEN(O11)&gt;0,O11,"NULL")&amp;")"&amp;IF(LEN($A12)+LEN(P$9)&gt;0,",",";")</f>
        <v>(2013,'Morris',17),</v>
      </c>
      <c r="O42" t="str">
        <f t="shared" ref="O42:O55" si="15">"("&amp;$A11&amp;",'"&amp;P$9&amp;"',"&amp;IF(LEN(P11)&gt;0,P11,"NULL")&amp;")"&amp;IF(LEN($A12)+LEN(Q$9)&gt;0,",",";")</f>
        <v>(2013,'Ocean',12),</v>
      </c>
      <c r="P42" t="str">
        <f t="shared" ref="P42:P55" si="16">"("&amp;$A11&amp;",'"&amp;Q$9&amp;"',"&amp;IF(LEN(Q11)&gt;0,Q11,"NULL")&amp;")"&amp;IF(LEN($A12)+LEN(R$9)&gt;0,",",";")</f>
        <v>(2013,'Passaic',21),</v>
      </c>
      <c r="Q42" t="str">
        <f t="shared" ref="Q42:Q55" si="17">"("&amp;$A11&amp;",'"&amp;R$9&amp;"',"&amp;IF(LEN(R11)&gt;0,R11,"NULL")&amp;")"&amp;IF(LEN($A12)+LEN(S$9)&gt;0,",",";")</f>
        <v>(2013,'Salem',NULL),</v>
      </c>
      <c r="R42" t="str">
        <f t="shared" ref="R42:R55" si="18">"("&amp;$A11&amp;",'"&amp;S$9&amp;"',"&amp;IF(LEN(S11)&gt;0,S11,"NULL")&amp;")"&amp;IF(LEN($A12)+LEN(T$9)&gt;0,",",";")</f>
        <v>(2013,'Somerset',6),</v>
      </c>
      <c r="S42" t="str">
        <f t="shared" ref="S42:S55" si="19">"("&amp;$A11&amp;",'"&amp;T$9&amp;"',"&amp;IF(LEN(T11)&gt;0,T11,"NULL")&amp;")"&amp;IF(LEN($A12)+LEN(U$9)&gt;0,",",";")</f>
        <v>(2013,'Sussex',7),</v>
      </c>
      <c r="T42" t="str">
        <f t="shared" ref="T42:T55" si="20">"("&amp;$A11&amp;",'"&amp;U$9&amp;"',"&amp;IF(LEN(U11)&gt;0,U11,"NULL")&amp;")"&amp;IF(LEN($A12)+LEN(V$9)&gt;0,",",";")</f>
        <v>(2013,'Union',16),</v>
      </c>
      <c r="U42" t="str">
        <f t="shared" ref="U42:U55" si="21">"("&amp;$A11&amp;",'"&amp;V$9&amp;"',"&amp;IF(LEN(V11)&gt;0,V11,"NULL")&amp;")"&amp;IF(LEN($A12)+LEN(W$9)&gt;0,",",";")</f>
        <v>(2013,'Warren',NULL),</v>
      </c>
    </row>
    <row r="43" spans="1:21" x14ac:dyDescent="0.35">
      <c r="A43" t="str">
        <f t="shared" si="1"/>
        <v>(2014,'Atlantic',12),</v>
      </c>
      <c r="B43" t="str">
        <f t="shared" si="2"/>
        <v>(2014,'Bergen',49),</v>
      </c>
      <c r="C43" t="str">
        <f t="shared" si="3"/>
        <v>(2014,'Burlington',25),</v>
      </c>
      <c r="D43" t="str">
        <f t="shared" si="4"/>
        <v>(2014,'Camden',43),</v>
      </c>
      <c r="E43" t="str">
        <f t="shared" si="5"/>
        <v>(2014,'Cape May',NULL),</v>
      </c>
      <c r="F43" t="str">
        <f t="shared" si="6"/>
        <v>(2014,'Cumberland',6),</v>
      </c>
      <c r="G43" t="str">
        <f t="shared" si="7"/>
        <v>(2014,'Essex',63),</v>
      </c>
      <c r="H43" t="str">
        <f t="shared" si="8"/>
        <v>(2014,'Gloucester',16),</v>
      </c>
      <c r="I43" t="str">
        <f t="shared" si="9"/>
        <v>(2014,'Hudson',80),</v>
      </c>
      <c r="J43" t="str">
        <f t="shared" si="10"/>
        <v>(2014,'Hunterdon',NULL),</v>
      </c>
      <c r="K43" t="str">
        <f t="shared" si="11"/>
        <v>(2014,'Mercer',14),</v>
      </c>
      <c r="L43" t="str">
        <f t="shared" si="12"/>
        <v>(2014,'Middlesex',29),</v>
      </c>
      <c r="M43" t="str">
        <f t="shared" si="13"/>
        <v>(2014,'Monmouth',31),</v>
      </c>
      <c r="N43" t="str">
        <f t="shared" si="14"/>
        <v>(2014,'Morris',23),</v>
      </c>
      <c r="O43" t="str">
        <f t="shared" si="15"/>
        <v>(2014,'Ocean',19),</v>
      </c>
      <c r="P43" t="str">
        <f t="shared" si="16"/>
        <v>(2014,'Passaic',26),</v>
      </c>
      <c r="Q43" t="str">
        <f t="shared" si="17"/>
        <v>(2014,'Salem',NULL),</v>
      </c>
      <c r="R43" t="str">
        <f t="shared" si="18"/>
        <v>(2014,'Somerset',12),</v>
      </c>
      <c r="S43" t="str">
        <f t="shared" si="19"/>
        <v>(2014,'Sussex',NULL),</v>
      </c>
      <c r="T43" t="str">
        <f t="shared" si="20"/>
        <v>(2014,'Union',34),</v>
      </c>
      <c r="U43" t="str">
        <f t="shared" si="21"/>
        <v>(2014,'Warren',NULL),</v>
      </c>
    </row>
    <row r="44" spans="1:21" x14ac:dyDescent="0.35">
      <c r="A44" t="str">
        <f t="shared" si="1"/>
        <v>(2015,'Atlantic',38),</v>
      </c>
      <c r="B44" t="str">
        <f t="shared" si="2"/>
        <v>(2015,'Bergen',111),</v>
      </c>
      <c r="C44" t="str">
        <f t="shared" si="3"/>
        <v>(2015,'Burlington',61),</v>
      </c>
      <c r="D44" t="str">
        <f t="shared" si="4"/>
        <v>(2015,'Camden',88),</v>
      </c>
      <c r="E44" t="str">
        <f t="shared" si="5"/>
        <v>(2015,'Cape May',10),</v>
      </c>
      <c r="F44" t="str">
        <f t="shared" si="6"/>
        <v>(2015,'Cumberland',12),</v>
      </c>
      <c r="G44" t="str">
        <f t="shared" si="7"/>
        <v>(2015,'Essex',137),</v>
      </c>
      <c r="H44" t="str">
        <f t="shared" si="8"/>
        <v>(2015,'Gloucester',38),</v>
      </c>
      <c r="I44" t="str">
        <f t="shared" si="9"/>
        <v>(2015,'Hudson',214),</v>
      </c>
      <c r="J44" t="str">
        <f t="shared" si="10"/>
        <v>(2015,'Hunterdon',11),</v>
      </c>
      <c r="K44" t="str">
        <f t="shared" si="11"/>
        <v>(2015,'Mercer',42),</v>
      </c>
      <c r="L44" t="str">
        <f t="shared" si="12"/>
        <v>(2015,'Middlesex',76),</v>
      </c>
      <c r="M44" t="str">
        <f t="shared" si="13"/>
        <v>(2015,'Monmouth',67),</v>
      </c>
      <c r="N44" t="str">
        <f t="shared" si="14"/>
        <v>(2015,'Morris',58),</v>
      </c>
      <c r="O44" t="str">
        <f t="shared" si="15"/>
        <v>(2015,'Ocean',43),</v>
      </c>
      <c r="P44" t="str">
        <f t="shared" si="16"/>
        <v>(2015,'Passaic',66),</v>
      </c>
      <c r="Q44" t="str">
        <f t="shared" si="17"/>
        <v>(2015,'Salem',8),</v>
      </c>
      <c r="R44" t="str">
        <f t="shared" si="18"/>
        <v>(2015,'Somerset',34),</v>
      </c>
      <c r="S44" t="str">
        <f t="shared" si="19"/>
        <v>(2015,'Sussex',11),</v>
      </c>
      <c r="T44" t="str">
        <f t="shared" si="20"/>
        <v>(2015,'Union',79),</v>
      </c>
      <c r="U44" t="str">
        <f t="shared" si="21"/>
        <v>(2015,'Warren',7),</v>
      </c>
    </row>
    <row r="45" spans="1:21" x14ac:dyDescent="0.35">
      <c r="A45" t="str">
        <f t="shared" si="1"/>
        <v>(2016,'Atlantic',59),</v>
      </c>
      <c r="B45" t="str">
        <f t="shared" si="2"/>
        <v>(2016,'Bergen',207),</v>
      </c>
      <c r="C45" t="str">
        <f t="shared" si="3"/>
        <v>(2016,'Burlington',97),</v>
      </c>
      <c r="D45" t="str">
        <f t="shared" si="4"/>
        <v>(2016,'Camden',131),</v>
      </c>
      <c r="E45" t="str">
        <f t="shared" si="5"/>
        <v>(2016,'Cape May',16),</v>
      </c>
      <c r="F45" t="str">
        <f t="shared" si="6"/>
        <v>(2016,'Cumberland',18),</v>
      </c>
      <c r="G45" t="str">
        <f t="shared" si="7"/>
        <v>(2016,'Essex',273),</v>
      </c>
      <c r="H45" t="str">
        <f t="shared" si="8"/>
        <v>(2016,'Gloucester',59),</v>
      </c>
      <c r="I45" t="str">
        <f t="shared" si="9"/>
        <v>(2016,'Hudson',395),</v>
      </c>
      <c r="J45" t="str">
        <f t="shared" si="10"/>
        <v>(2016,'Hunterdon',22),</v>
      </c>
      <c r="K45" t="str">
        <f t="shared" si="11"/>
        <v>(2016,'Mercer',76),</v>
      </c>
      <c r="L45" t="str">
        <f t="shared" si="12"/>
        <v>(2016,'Middlesex',160),</v>
      </c>
      <c r="M45" t="str">
        <f t="shared" si="13"/>
        <v>(2016,'Monmouth',152),</v>
      </c>
      <c r="N45" t="str">
        <f t="shared" si="14"/>
        <v>(2016,'Morris',108),</v>
      </c>
      <c r="O45" t="str">
        <f t="shared" si="15"/>
        <v>(2016,'Ocean',89),</v>
      </c>
      <c r="P45" t="str">
        <f t="shared" si="16"/>
        <v>(2016,'Passaic',107),</v>
      </c>
      <c r="Q45" t="str">
        <f t="shared" si="17"/>
        <v>(2016,'Salem',12),</v>
      </c>
      <c r="R45" t="str">
        <f t="shared" si="18"/>
        <v>(2016,'Somerset',69),</v>
      </c>
      <c r="S45" t="str">
        <f t="shared" si="19"/>
        <v>(2016,'Sussex',19),</v>
      </c>
      <c r="T45" t="str">
        <f t="shared" si="20"/>
        <v>(2016,'Union',159),</v>
      </c>
      <c r="U45" t="str">
        <f t="shared" si="21"/>
        <v>(2016,'Warren',14),</v>
      </c>
    </row>
    <row r="46" spans="1:21" x14ac:dyDescent="0.35">
      <c r="A46" t="str">
        <f t="shared" si="1"/>
        <v>(2017,'Atlantic',63),</v>
      </c>
      <c r="B46" t="str">
        <f t="shared" si="2"/>
        <v>(2017,'Bergen',323),</v>
      </c>
      <c r="C46" t="str">
        <f t="shared" si="3"/>
        <v>(2017,'Burlington',148),</v>
      </c>
      <c r="D46" t="str">
        <f t="shared" si="4"/>
        <v>(2017,'Camden',192),</v>
      </c>
      <c r="E46" t="str">
        <f t="shared" si="5"/>
        <v>(2017,'Cape May',18),</v>
      </c>
      <c r="F46" t="str">
        <f t="shared" si="6"/>
        <v>(2017,'Cumberland',41),</v>
      </c>
      <c r="G46" t="str">
        <f t="shared" si="7"/>
        <v>(2017,'Essex',385),</v>
      </c>
      <c r="H46" t="str">
        <f t="shared" si="8"/>
        <v>(2017,'Gloucester',90),</v>
      </c>
      <c r="I46" t="str">
        <f t="shared" si="9"/>
        <v>(2017,'Hudson',561),</v>
      </c>
      <c r="J46" t="str">
        <f t="shared" si="10"/>
        <v>(2017,'Hunterdon',36),</v>
      </c>
      <c r="K46" t="str">
        <f t="shared" si="11"/>
        <v>(2017,'Mercer',143),</v>
      </c>
      <c r="L46" t="str">
        <f t="shared" si="12"/>
        <v>(2017,'Middlesex',250),</v>
      </c>
      <c r="M46" t="str">
        <f t="shared" si="13"/>
        <v>(2017,'Monmouth',260),</v>
      </c>
      <c r="N46" t="str">
        <f t="shared" si="14"/>
        <v>(2017,'Morris',159),</v>
      </c>
      <c r="O46" t="str">
        <f t="shared" si="15"/>
        <v>(2017,'Ocean',142),</v>
      </c>
      <c r="P46" t="str">
        <f t="shared" si="16"/>
        <v>(2017,'Passaic',175),</v>
      </c>
      <c r="Q46" t="str">
        <f t="shared" si="17"/>
        <v>(2017,'Salem',20),</v>
      </c>
      <c r="R46" t="str">
        <f t="shared" si="18"/>
        <v>(2017,'Somerset',105),</v>
      </c>
      <c r="S46" t="str">
        <f t="shared" si="19"/>
        <v>(2017,'Sussex',33),</v>
      </c>
      <c r="T46" t="str">
        <f t="shared" si="20"/>
        <v>(2017,'Union',231),</v>
      </c>
      <c r="U46" t="str">
        <f t="shared" si="21"/>
        <v>(2017,'Warren',24),</v>
      </c>
    </row>
    <row r="47" spans="1:21" x14ac:dyDescent="0.35">
      <c r="A47" t="str">
        <f t="shared" si="1"/>
        <v>(2018,'Atlantic',83),</v>
      </c>
      <c r="B47" t="str">
        <f t="shared" si="2"/>
        <v>(2018,'Bergen',458),</v>
      </c>
      <c r="C47" t="str">
        <f t="shared" si="3"/>
        <v>(2018,'Burlington',199),</v>
      </c>
      <c r="D47" t="str">
        <f t="shared" si="4"/>
        <v>(2018,'Camden',253),</v>
      </c>
      <c r="E47" t="str">
        <f t="shared" si="5"/>
        <v>(2018,'Cape May',23),</v>
      </c>
      <c r="F47" t="str">
        <f t="shared" si="6"/>
        <v>(2018,'Cumberland',47),</v>
      </c>
      <c r="G47" t="str">
        <f t="shared" si="7"/>
        <v>(2018,'Essex',572),</v>
      </c>
      <c r="H47" t="str">
        <f t="shared" si="8"/>
        <v>(2018,'Gloucester',121),</v>
      </c>
      <c r="I47" t="str">
        <f t="shared" si="9"/>
        <v>(2018,'Hudson',759),</v>
      </c>
      <c r="J47" t="str">
        <f t="shared" si="10"/>
        <v>(2018,'Hunterdon',51),</v>
      </c>
      <c r="K47" t="str">
        <f t="shared" si="11"/>
        <v>(2018,'Mercer',187),</v>
      </c>
      <c r="L47" t="str">
        <f t="shared" si="12"/>
        <v>(2018,'Middlesex',362),</v>
      </c>
      <c r="M47" t="str">
        <f t="shared" si="13"/>
        <v>(2018,'Monmouth',318),</v>
      </c>
      <c r="N47" t="str">
        <f t="shared" si="14"/>
        <v>(2018,'Morris',221),</v>
      </c>
      <c r="O47" t="str">
        <f t="shared" si="15"/>
        <v>(2018,'Ocean',161),</v>
      </c>
      <c r="P47" t="str">
        <f t="shared" si="16"/>
        <v>(2018,'Passaic',245),</v>
      </c>
      <c r="Q47" t="str">
        <f t="shared" si="17"/>
        <v>(2018,'Salem',26),</v>
      </c>
      <c r="R47" t="str">
        <f t="shared" si="18"/>
        <v>(2018,'Somerset',146),</v>
      </c>
      <c r="S47" t="str">
        <f t="shared" si="19"/>
        <v>(2018,'Sussex',49),</v>
      </c>
      <c r="T47" t="str">
        <f t="shared" si="20"/>
        <v>(2018,'Union',342),</v>
      </c>
      <c r="U47" t="str">
        <f t="shared" si="21"/>
        <v>(2018,'Warren',35),</v>
      </c>
    </row>
    <row r="48" spans="1:21" x14ac:dyDescent="0.35">
      <c r="A48" t="str">
        <f t="shared" si="1"/>
        <v>(2019,'Atlantic',124),</v>
      </c>
      <c r="B48" t="str">
        <f t="shared" si="2"/>
        <v>(2019,'Bergen',568),</v>
      </c>
      <c r="C48" t="str">
        <f t="shared" si="3"/>
        <v>(2019,'Burlington',236),</v>
      </c>
      <c r="D48" t="str">
        <f t="shared" si="4"/>
        <v>(2019,'Camden',307),</v>
      </c>
      <c r="E48" t="str">
        <f t="shared" si="5"/>
        <v>(2019,'Cape May',37),</v>
      </c>
      <c r="F48" t="str">
        <f t="shared" si="6"/>
        <v>(2019,'Cumberland',57),</v>
      </c>
      <c r="G48" t="str">
        <f t="shared" si="7"/>
        <v>(2019,'Essex',687),</v>
      </c>
      <c r="H48" t="str">
        <f t="shared" si="8"/>
        <v>(2019,'Gloucester',141),</v>
      </c>
      <c r="I48" t="str">
        <f t="shared" si="9"/>
        <v>(2019,'Hudson',966),</v>
      </c>
      <c r="J48" t="str">
        <f t="shared" si="10"/>
        <v>(2019,'Hunterdon',63),</v>
      </c>
      <c r="K48" t="str">
        <f t="shared" si="11"/>
        <v>(2019,'Mercer',252),</v>
      </c>
      <c r="L48" t="str">
        <f t="shared" si="12"/>
        <v>(2019,'Middlesex',472),</v>
      </c>
      <c r="M48" t="str">
        <f t="shared" si="13"/>
        <v>(2019,'Monmouth',383),</v>
      </c>
      <c r="N48" t="str">
        <f t="shared" si="14"/>
        <v>(2019,'Morris',270),</v>
      </c>
      <c r="O48" t="str">
        <f t="shared" si="15"/>
        <v>(2019,'Ocean',210),</v>
      </c>
      <c r="P48" t="str">
        <f t="shared" si="16"/>
        <v>(2019,'Passaic',299),</v>
      </c>
      <c r="Q48" t="str">
        <f t="shared" si="17"/>
        <v>(2019,'Salem',31),</v>
      </c>
      <c r="R48" t="str">
        <f t="shared" si="18"/>
        <v>(2019,'Somerset',182),</v>
      </c>
      <c r="S48" t="str">
        <f t="shared" si="19"/>
        <v>(2019,'Sussex',57),</v>
      </c>
      <c r="T48" t="str">
        <f t="shared" si="20"/>
        <v>(2019,'Union',434),</v>
      </c>
      <c r="U48" t="str">
        <f t="shared" si="21"/>
        <v>(2019,'Warren',41),</v>
      </c>
    </row>
    <row r="49" spans="1:21" x14ac:dyDescent="0.35">
      <c r="A49" t="str">
        <f t="shared" si="1"/>
        <v>(2020,'Atlantic',141),</v>
      </c>
      <c r="B49" t="str">
        <f t="shared" si="2"/>
        <v>(2020,'Bergen',587),</v>
      </c>
      <c r="C49" t="str">
        <f t="shared" si="3"/>
        <v>(2020,'Burlington',244),</v>
      </c>
      <c r="D49" t="str">
        <f t="shared" si="4"/>
        <v>(2020,'Camden',310),</v>
      </c>
      <c r="E49" t="str">
        <f t="shared" si="5"/>
        <v>(2020,'Cape May',40),</v>
      </c>
      <c r="F49" t="str">
        <f t="shared" si="6"/>
        <v>(2020,'Cumberland',56),</v>
      </c>
      <c r="G49" t="str">
        <f t="shared" si="7"/>
        <v>(2020,'Essex',692),</v>
      </c>
      <c r="H49" t="str">
        <f t="shared" si="8"/>
        <v>(2020,'Gloucester',148),</v>
      </c>
      <c r="I49" t="str">
        <f t="shared" si="9"/>
        <v>(2020,'Hudson',999),</v>
      </c>
      <c r="J49" t="str">
        <f t="shared" si="10"/>
        <v>(2020,'Hunterdon',68),</v>
      </c>
      <c r="K49" t="str">
        <f t="shared" si="11"/>
        <v>(2020,'Mercer',233),</v>
      </c>
      <c r="L49" t="str">
        <f t="shared" si="12"/>
        <v>(2020,'Middlesex',516),</v>
      </c>
      <c r="M49" t="str">
        <f t="shared" si="13"/>
        <v>(2020,'Monmouth',401),</v>
      </c>
      <c r="N49" t="str">
        <f t="shared" si="14"/>
        <v>(2020,'Morris',311),</v>
      </c>
      <c r="O49" t="str">
        <f t="shared" si="15"/>
        <v>(2020,'Ocean',201),</v>
      </c>
      <c r="P49" t="str">
        <f t="shared" si="16"/>
        <v>(2020,'Passaic',309),</v>
      </c>
      <c r="Q49" t="str">
        <f t="shared" si="17"/>
        <v>(2020,'Salem',32),</v>
      </c>
      <c r="R49" t="str">
        <f t="shared" si="18"/>
        <v>(2020,'Somerset',197),</v>
      </c>
      <c r="S49" t="str">
        <f t="shared" si="19"/>
        <v>(2020,'Sussex',71),</v>
      </c>
      <c r="T49" t="str">
        <f t="shared" si="20"/>
        <v>(2020,'Union',434),</v>
      </c>
      <c r="U49" t="str">
        <f t="shared" si="21"/>
        <v>(2020,'Warren',51),</v>
      </c>
    </row>
    <row r="50" spans="1:21" x14ac:dyDescent="0.35">
      <c r="A50" t="str">
        <f t="shared" si="1"/>
        <v>(2021,'Atlantic',185),</v>
      </c>
      <c r="B50" t="str">
        <f t="shared" si="2"/>
        <v>(2021,'Bergen',728),</v>
      </c>
      <c r="C50" t="str">
        <f t="shared" si="3"/>
        <v>(2021,'Burlington',301),</v>
      </c>
      <c r="D50" t="str">
        <f t="shared" si="4"/>
        <v>(2021,'Camden',355),</v>
      </c>
      <c r="E50" t="str">
        <f t="shared" si="5"/>
        <v>(2021,'Cape May',61),</v>
      </c>
      <c r="F50" t="str">
        <f t="shared" si="6"/>
        <v>(2021,'Cumberland',62),</v>
      </c>
      <c r="G50" t="str">
        <f t="shared" si="7"/>
        <v>(2021,'Essex',829),</v>
      </c>
      <c r="H50" t="str">
        <f t="shared" si="8"/>
        <v>(2021,'Gloucester',182),</v>
      </c>
      <c r="I50" t="str">
        <f t="shared" si="9"/>
        <v>(2021,'Hudson',1253),</v>
      </c>
      <c r="J50" t="str">
        <f t="shared" si="10"/>
        <v>(2021,'Hunterdon',84),</v>
      </c>
      <c r="K50" t="str">
        <f t="shared" si="11"/>
        <v>(2021,'Mercer',308),</v>
      </c>
      <c r="L50" t="str">
        <f t="shared" si="12"/>
        <v>(2021,'Middlesex',633),</v>
      </c>
      <c r="M50" t="str">
        <f t="shared" si="13"/>
        <v>(2021,'Monmouth',481),</v>
      </c>
      <c r="N50" t="str">
        <f t="shared" si="14"/>
        <v>(2021,'Morris',380),</v>
      </c>
      <c r="O50" t="str">
        <f t="shared" si="15"/>
        <v>(2021,'Ocean',250),</v>
      </c>
      <c r="P50" t="str">
        <f t="shared" si="16"/>
        <v>(2021,'Passaic',397),</v>
      </c>
      <c r="Q50" t="str">
        <f t="shared" si="17"/>
        <v>(2021,'Salem',39),</v>
      </c>
      <c r="R50" t="str">
        <f t="shared" si="18"/>
        <v>(2021,'Somerset',238),</v>
      </c>
      <c r="S50" t="str">
        <f t="shared" si="19"/>
        <v>(2021,'Sussex',93),</v>
      </c>
      <c r="T50" t="str">
        <f t="shared" si="20"/>
        <v>(2021,'Union',523),</v>
      </c>
      <c r="U50" t="str">
        <f t="shared" si="21"/>
        <v>(2021,'Warren',67),</v>
      </c>
    </row>
    <row r="51" spans="1:21" x14ac:dyDescent="0.35">
      <c r="A51" t="str">
        <f t="shared" si="1"/>
        <v>(2022,'Atlantic',215),</v>
      </c>
      <c r="B51" t="str">
        <f t="shared" si="2"/>
        <v>(2022,'Bergen',914),</v>
      </c>
      <c r="C51" t="str">
        <f t="shared" si="3"/>
        <v>(2022,'Burlington',381),</v>
      </c>
      <c r="D51" t="str">
        <f t="shared" si="4"/>
        <v>(2022,'Camden',478),</v>
      </c>
      <c r="E51" t="str">
        <f t="shared" si="5"/>
        <v>(2022,'Cape May',70),</v>
      </c>
      <c r="F51" t="str">
        <f t="shared" si="6"/>
        <v>(2022,'Cumberland',81),</v>
      </c>
      <c r="G51" t="str">
        <f t="shared" si="7"/>
        <v>(2022,'Essex',1012),</v>
      </c>
      <c r="H51" t="str">
        <f t="shared" si="8"/>
        <v>(2022,'Gloucester',230),</v>
      </c>
      <c r="I51" t="str">
        <f t="shared" si="9"/>
        <v>(2022,'Hudson',1502),</v>
      </c>
      <c r="J51" t="str">
        <f t="shared" si="10"/>
        <v>(2022,'Hunterdon',106),</v>
      </c>
      <c r="K51" t="str">
        <f t="shared" si="11"/>
        <v>(2022,'Mercer',371),</v>
      </c>
      <c r="L51" t="str">
        <f t="shared" si="12"/>
        <v>(2022,'Middlesex',794),</v>
      </c>
      <c r="M51" t="str">
        <f t="shared" si="13"/>
        <v>(2022,'Monmouth',575),</v>
      </c>
      <c r="N51" t="str">
        <f t="shared" si="14"/>
        <v>(2022,'Morris',463),</v>
      </c>
      <c r="O51" t="str">
        <f t="shared" si="15"/>
        <v>(2022,'Ocean',344),</v>
      </c>
      <c r="P51" t="str">
        <f t="shared" si="16"/>
        <v>(2022,'Passaic',480),</v>
      </c>
      <c r="Q51" t="str">
        <f t="shared" si="17"/>
        <v>(2022,'Salem',50),</v>
      </c>
      <c r="R51" t="str">
        <f t="shared" si="18"/>
        <v>(2022,'Somerset',297),</v>
      </c>
      <c r="S51" t="str">
        <f t="shared" si="19"/>
        <v>(2022,'Sussex',111),</v>
      </c>
      <c r="T51" t="str">
        <f t="shared" si="20"/>
        <v>(2022,'Union',646),</v>
      </c>
      <c r="U51" t="str">
        <f t="shared" si="21"/>
        <v>(2022,'Warren',82);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HIV</vt:lpstr>
      <vt:lpstr>Pop</vt:lpstr>
      <vt:lpstr>PrEP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LeeEunchan</cp:lastModifiedBy>
  <dcterms:modified xsi:type="dcterms:W3CDTF">2024-10-31T16:23:25Z</dcterms:modified>
</cp:coreProperties>
</file>