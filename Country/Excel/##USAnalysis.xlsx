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202300"/>
  <mc:AlternateContent xmlns:mc="http://schemas.openxmlformats.org/markup-compatibility/2006">
    <mc:Choice Requires="x15">
      <x15ac:absPath xmlns:x15ac="http://schemas.microsoft.com/office/spreadsheetml/2010/11/ac" url="C:\Users\mlee9\Desktop\BUS 340\Course Review\"/>
    </mc:Choice>
  </mc:AlternateContent>
  <xr:revisionPtr revIDLastSave="0" documentId="13_ncr:9_{41A92939-C1F5-454C-8A5C-7C8D8BB37975}" xr6:coauthVersionLast="47" xr6:coauthVersionMax="47" xr10:uidLastSave="{00000000-0000-0000-0000-000000000000}"/>
  <bookViews>
    <workbookView xWindow="-108" yWindow="-108" windowWidth="23256" windowHeight="12576" activeTab="2" xr2:uid="{4A1957DD-50D1-421A-BE1C-62AC3F7822AA}"/>
  </bookViews>
  <sheets>
    <sheet name="IncomeRequired" sheetId="2" r:id="rId1"/>
    <sheet name="IncomeRequiredYoY" sheetId="3" r:id="rId2"/>
    <sheet name="Dashboard" sheetId="4" r:id="rId3"/>
    <sheet name="USDW" sheetId="1" r:id="rId4"/>
  </sheets>
  <definedNames>
    <definedName name="Slicer_Months__StartOfMonth">#N/A</definedName>
    <definedName name="Slicer_Years__StartOfMonth">#N/A</definedName>
  </definedNames>
  <calcPr calcId="0"/>
  <pivotCaches>
    <pivotCache cacheId="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 i="1" l="1"/>
  <c r="H5" i="1"/>
  <c r="H9" i="1"/>
  <c r="H10" i="1"/>
  <c r="H14" i="1"/>
  <c r="H15" i="1"/>
  <c r="H21" i="1"/>
  <c r="H22" i="1"/>
  <c r="H26" i="1"/>
  <c r="H27" i="1"/>
  <c r="H33" i="1"/>
  <c r="H34" i="1"/>
  <c r="H38" i="1"/>
  <c r="H39" i="1"/>
  <c r="H45" i="1"/>
  <c r="H46" i="1"/>
  <c r="H50" i="1"/>
  <c r="H51" i="1"/>
  <c r="H57" i="1"/>
  <c r="H58" i="1"/>
  <c r="H62" i="1"/>
  <c r="H63" i="1"/>
  <c r="H69" i="1"/>
  <c r="H70" i="1"/>
  <c r="H74" i="1"/>
  <c r="H75" i="1"/>
  <c r="H81" i="1"/>
  <c r="H82" i="1"/>
  <c r="H86" i="1"/>
  <c r="H87" i="1"/>
  <c r="H93" i="1"/>
  <c r="H94" i="1"/>
  <c r="H98" i="1"/>
  <c r="H99" i="1"/>
  <c r="G3" i="1"/>
  <c r="G4" i="1"/>
  <c r="H4" i="1" s="1"/>
  <c r="G5" i="1"/>
  <c r="G6" i="1"/>
  <c r="H6" i="1" s="1"/>
  <c r="G7" i="1"/>
  <c r="H7" i="1" s="1"/>
  <c r="G8" i="1"/>
  <c r="H8" i="1" s="1"/>
  <c r="G9" i="1"/>
  <c r="G10" i="1"/>
  <c r="G11" i="1"/>
  <c r="H11" i="1" s="1"/>
  <c r="G12" i="1"/>
  <c r="H12" i="1" s="1"/>
  <c r="G13" i="1"/>
  <c r="H13" i="1" s="1"/>
  <c r="G14" i="1"/>
  <c r="G15" i="1"/>
  <c r="G16" i="1"/>
  <c r="H16" i="1" s="1"/>
  <c r="G17" i="1"/>
  <c r="H17" i="1" s="1"/>
  <c r="G18" i="1"/>
  <c r="H18" i="1" s="1"/>
  <c r="G19" i="1"/>
  <c r="H19" i="1" s="1"/>
  <c r="G20" i="1"/>
  <c r="H20" i="1" s="1"/>
  <c r="G21" i="1"/>
  <c r="G22" i="1"/>
  <c r="G23" i="1"/>
  <c r="H23" i="1" s="1"/>
  <c r="G24" i="1"/>
  <c r="H24" i="1" s="1"/>
  <c r="G25" i="1"/>
  <c r="H25" i="1" s="1"/>
  <c r="G26" i="1"/>
  <c r="G27" i="1"/>
  <c r="G28" i="1"/>
  <c r="H28" i="1" s="1"/>
  <c r="G29" i="1"/>
  <c r="H29" i="1" s="1"/>
  <c r="G30" i="1"/>
  <c r="H30" i="1" s="1"/>
  <c r="G31" i="1"/>
  <c r="H31" i="1" s="1"/>
  <c r="G32" i="1"/>
  <c r="H32" i="1" s="1"/>
  <c r="G33" i="1"/>
  <c r="G34" i="1"/>
  <c r="G35" i="1"/>
  <c r="H35" i="1" s="1"/>
  <c r="G36" i="1"/>
  <c r="H36" i="1" s="1"/>
  <c r="G37" i="1"/>
  <c r="H37" i="1" s="1"/>
  <c r="G38" i="1"/>
  <c r="G39" i="1"/>
  <c r="G40" i="1"/>
  <c r="H40" i="1" s="1"/>
  <c r="G41" i="1"/>
  <c r="H41" i="1" s="1"/>
  <c r="G42" i="1"/>
  <c r="H42" i="1" s="1"/>
  <c r="G43" i="1"/>
  <c r="H43" i="1" s="1"/>
  <c r="G44" i="1"/>
  <c r="H44" i="1" s="1"/>
  <c r="G45" i="1"/>
  <c r="G46" i="1"/>
  <c r="G47" i="1"/>
  <c r="H47" i="1" s="1"/>
  <c r="G48" i="1"/>
  <c r="H48" i="1" s="1"/>
  <c r="G49" i="1"/>
  <c r="H49" i="1" s="1"/>
  <c r="G50" i="1"/>
  <c r="G51" i="1"/>
  <c r="G52" i="1"/>
  <c r="H52" i="1" s="1"/>
  <c r="G53" i="1"/>
  <c r="H53" i="1" s="1"/>
  <c r="G54" i="1"/>
  <c r="H54" i="1" s="1"/>
  <c r="G55" i="1"/>
  <c r="H55" i="1" s="1"/>
  <c r="G56" i="1"/>
  <c r="H56" i="1" s="1"/>
  <c r="G57" i="1"/>
  <c r="G58" i="1"/>
  <c r="G59" i="1"/>
  <c r="H59" i="1" s="1"/>
  <c r="G60" i="1"/>
  <c r="H60" i="1" s="1"/>
  <c r="G61" i="1"/>
  <c r="H61" i="1" s="1"/>
  <c r="G62" i="1"/>
  <c r="G63" i="1"/>
  <c r="G64" i="1"/>
  <c r="H64" i="1" s="1"/>
  <c r="G65" i="1"/>
  <c r="H65" i="1" s="1"/>
  <c r="G66" i="1"/>
  <c r="H66" i="1" s="1"/>
  <c r="G67" i="1"/>
  <c r="H67" i="1" s="1"/>
  <c r="G68" i="1"/>
  <c r="H68" i="1" s="1"/>
  <c r="G69" i="1"/>
  <c r="G70" i="1"/>
  <c r="G71" i="1"/>
  <c r="H71" i="1" s="1"/>
  <c r="G72" i="1"/>
  <c r="H72" i="1" s="1"/>
  <c r="G73" i="1"/>
  <c r="H73" i="1" s="1"/>
  <c r="G74" i="1"/>
  <c r="G75" i="1"/>
  <c r="G76" i="1"/>
  <c r="H76" i="1" s="1"/>
  <c r="G77" i="1"/>
  <c r="H77" i="1" s="1"/>
  <c r="G78" i="1"/>
  <c r="H78" i="1" s="1"/>
  <c r="G79" i="1"/>
  <c r="H79" i="1" s="1"/>
  <c r="G80" i="1"/>
  <c r="H80" i="1" s="1"/>
  <c r="G81" i="1"/>
  <c r="G82" i="1"/>
  <c r="G83" i="1"/>
  <c r="H83" i="1" s="1"/>
  <c r="G84" i="1"/>
  <c r="H84" i="1" s="1"/>
  <c r="G85" i="1"/>
  <c r="H85" i="1" s="1"/>
  <c r="G86" i="1"/>
  <c r="G87" i="1"/>
  <c r="G88" i="1"/>
  <c r="H88" i="1" s="1"/>
  <c r="G89" i="1"/>
  <c r="H89" i="1" s="1"/>
  <c r="G90" i="1"/>
  <c r="H90" i="1" s="1"/>
  <c r="G91" i="1"/>
  <c r="H91" i="1" s="1"/>
  <c r="G92" i="1"/>
  <c r="H92" i="1" s="1"/>
  <c r="G93" i="1"/>
  <c r="G94" i="1"/>
  <c r="G95" i="1"/>
  <c r="H95" i="1" s="1"/>
  <c r="G96" i="1"/>
  <c r="H96" i="1" s="1"/>
  <c r="G97" i="1"/>
  <c r="H97" i="1" s="1"/>
  <c r="G98" i="1"/>
  <c r="G99" i="1"/>
  <c r="G100" i="1"/>
  <c r="H100" i="1" s="1"/>
  <c r="G101" i="1"/>
  <c r="H101" i="1" s="1"/>
  <c r="G2" i="1"/>
  <c r="H2" i="1" s="1"/>
</calcChain>
</file>

<file path=xl/sharedStrings.xml><?xml version="1.0" encoding="utf-8"?>
<sst xmlns="http://schemas.openxmlformats.org/spreadsheetml/2006/main" count="236" uniqueCount="34">
  <si>
    <t>StartOfMonth</t>
  </si>
  <si>
    <t>Rate</t>
  </si>
  <si>
    <t>HomeValue</t>
  </si>
  <si>
    <t>PropertyTax</t>
  </si>
  <si>
    <t>Insurance</t>
  </si>
  <si>
    <t>Income</t>
  </si>
  <si>
    <t>IncomeRequired</t>
  </si>
  <si>
    <t>IncomeRequiredYoY</t>
  </si>
  <si>
    <t>Grand Total</t>
  </si>
  <si>
    <t>Row Labels</t>
  </si>
  <si>
    <t>&lt;7/1/2016</t>
  </si>
  <si>
    <t>2016</t>
  </si>
  <si>
    <t>2017</t>
  </si>
  <si>
    <t>2018</t>
  </si>
  <si>
    <t>2019</t>
  </si>
  <si>
    <t>2020</t>
  </si>
  <si>
    <t>2021</t>
  </si>
  <si>
    <t>2022</t>
  </si>
  <si>
    <t>2023</t>
  </si>
  <si>
    <t>2024</t>
  </si>
  <si>
    <t>Sum of IncomeRequired</t>
  </si>
  <si>
    <t>Jan</t>
  </si>
  <si>
    <t>Feb</t>
  </si>
  <si>
    <t>Mar</t>
  </si>
  <si>
    <t>Apr</t>
  </si>
  <si>
    <t>May</t>
  </si>
  <si>
    <t>Jun</t>
  </si>
  <si>
    <t>Jul</t>
  </si>
  <si>
    <t>Aug</t>
  </si>
  <si>
    <t>Sep</t>
  </si>
  <si>
    <t>Oct</t>
  </si>
  <si>
    <t>Nov</t>
  </si>
  <si>
    <t>Dec</t>
  </si>
  <si>
    <t>Average of IncomeRequiredYoY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</si>
</sst>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3"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[USDW.xlsx]IncomeRequired!PivotTable1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IncomeRequired!$B$3</c:f>
              <c:strCache>
                <c:ptCount val="1"/>
                <c:pt idx="0">
                  <c:v>Total</c:v>
                </c:pt>
              </c:strCache>
            </c:strRef>
          </c:tx>
          <c:spPr>
            <a:ln w="28575" cap="rnd">
              <a:solidFill>
                <a:schemeClr val="accent1"/>
              </a:solidFill>
              <a:round/>
            </a:ln>
            <a:effectLst/>
          </c:spPr>
          <c:marker>
            <c:symbol val="none"/>
          </c:marker>
          <c:cat>
            <c:multiLvlStrRef>
              <c:f>IncomeRequired!$A$4:$A$115</c:f>
              <c:multiLvlStrCache>
                <c:ptCount val="101"/>
                <c:lvl>
                  <c:pt idx="0">
                    <c:v>&lt;7/1/2016</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pt idx="39">
                    <c:v>Sep</c:v>
                  </c:pt>
                  <c:pt idx="40">
                    <c:v>Oct</c:v>
                  </c:pt>
                  <c:pt idx="41">
                    <c:v>Nov</c:v>
                  </c:pt>
                  <c:pt idx="42">
                    <c:v>Dec</c:v>
                  </c:pt>
                  <c:pt idx="43">
                    <c:v>Jan</c:v>
                  </c:pt>
                  <c:pt idx="44">
                    <c:v>Feb</c:v>
                  </c:pt>
                  <c:pt idx="45">
                    <c:v>Mar</c:v>
                  </c:pt>
                  <c:pt idx="46">
                    <c:v>Apr</c:v>
                  </c:pt>
                  <c:pt idx="47">
                    <c:v>May</c:v>
                  </c:pt>
                  <c:pt idx="48">
                    <c:v>Jun</c:v>
                  </c:pt>
                  <c:pt idx="49">
                    <c:v>Jul</c:v>
                  </c:pt>
                  <c:pt idx="50">
                    <c:v>Aug</c:v>
                  </c:pt>
                  <c:pt idx="51">
                    <c:v>Sep</c:v>
                  </c:pt>
                  <c:pt idx="52">
                    <c:v>Oct</c:v>
                  </c:pt>
                  <c:pt idx="53">
                    <c:v>Nov</c:v>
                  </c:pt>
                  <c:pt idx="54">
                    <c:v>Dec</c:v>
                  </c:pt>
                  <c:pt idx="55">
                    <c:v>Jan</c:v>
                  </c:pt>
                  <c:pt idx="56">
                    <c:v>Feb</c:v>
                  </c:pt>
                  <c:pt idx="57">
                    <c:v>Mar</c:v>
                  </c:pt>
                  <c:pt idx="58">
                    <c:v>Apr</c:v>
                  </c:pt>
                  <c:pt idx="59">
                    <c:v>May</c:v>
                  </c:pt>
                  <c:pt idx="60">
                    <c:v>Jun</c:v>
                  </c:pt>
                  <c:pt idx="61">
                    <c:v>Jul</c:v>
                  </c:pt>
                  <c:pt idx="62">
                    <c:v>Aug</c:v>
                  </c:pt>
                  <c:pt idx="63">
                    <c:v>Sep</c:v>
                  </c:pt>
                  <c:pt idx="64">
                    <c:v>Oct</c:v>
                  </c:pt>
                  <c:pt idx="65">
                    <c:v>Nov</c:v>
                  </c:pt>
                  <c:pt idx="66">
                    <c:v>Dec</c:v>
                  </c:pt>
                  <c:pt idx="67">
                    <c:v>Jan</c:v>
                  </c:pt>
                  <c:pt idx="68">
                    <c:v>Feb</c:v>
                  </c:pt>
                  <c:pt idx="69">
                    <c:v>Mar</c:v>
                  </c:pt>
                  <c:pt idx="70">
                    <c:v>Apr</c:v>
                  </c:pt>
                  <c:pt idx="71">
                    <c:v>May</c:v>
                  </c:pt>
                  <c:pt idx="72">
                    <c:v>Jun</c:v>
                  </c:pt>
                  <c:pt idx="73">
                    <c:v>Jul</c:v>
                  </c:pt>
                  <c:pt idx="74">
                    <c:v>Aug</c:v>
                  </c:pt>
                  <c:pt idx="75">
                    <c:v>Sep</c:v>
                  </c:pt>
                  <c:pt idx="76">
                    <c:v>Oct</c:v>
                  </c:pt>
                  <c:pt idx="77">
                    <c:v>Nov</c:v>
                  </c:pt>
                  <c:pt idx="78">
                    <c:v>Dec</c:v>
                  </c:pt>
                  <c:pt idx="79">
                    <c:v>Jan</c:v>
                  </c:pt>
                  <c:pt idx="80">
                    <c:v>Feb</c:v>
                  </c:pt>
                  <c:pt idx="81">
                    <c:v>Mar</c:v>
                  </c:pt>
                  <c:pt idx="82">
                    <c:v>Apr</c:v>
                  </c:pt>
                  <c:pt idx="83">
                    <c:v>May</c:v>
                  </c:pt>
                  <c:pt idx="84">
                    <c:v>Jun</c:v>
                  </c:pt>
                  <c:pt idx="85">
                    <c:v>Jul</c:v>
                  </c:pt>
                  <c:pt idx="86">
                    <c:v>Aug</c:v>
                  </c:pt>
                  <c:pt idx="87">
                    <c:v>Sep</c:v>
                  </c:pt>
                  <c:pt idx="88">
                    <c:v>Oct</c:v>
                  </c:pt>
                  <c:pt idx="89">
                    <c:v>Nov</c:v>
                  </c:pt>
                  <c:pt idx="90">
                    <c:v>Dec</c:v>
                  </c:pt>
                  <c:pt idx="91">
                    <c:v>Jan</c:v>
                  </c:pt>
                  <c:pt idx="92">
                    <c:v>Feb</c:v>
                  </c:pt>
                  <c:pt idx="93">
                    <c:v>Mar</c:v>
                  </c:pt>
                  <c:pt idx="94">
                    <c:v>Apr</c:v>
                  </c:pt>
                  <c:pt idx="95">
                    <c:v>May</c:v>
                  </c:pt>
                  <c:pt idx="96">
                    <c:v>Jun</c:v>
                  </c:pt>
                  <c:pt idx="97">
                    <c:v>Jul</c:v>
                  </c:pt>
                  <c:pt idx="98">
                    <c:v>Aug</c:v>
                  </c:pt>
                  <c:pt idx="99">
                    <c:v>Sep</c:v>
                  </c:pt>
                  <c:pt idx="100">
                    <c:v>Oct</c:v>
                  </c:pt>
                </c:lvl>
                <c:lvl>
                  <c:pt idx="0">
                    <c:v>&lt;7/1/2016</c:v>
                  </c:pt>
                  <c:pt idx="1">
                    <c:v>2016</c:v>
                  </c:pt>
                  <c:pt idx="7">
                    <c:v>2017</c:v>
                  </c:pt>
                  <c:pt idx="19">
                    <c:v>2018</c:v>
                  </c:pt>
                  <c:pt idx="31">
                    <c:v>2019</c:v>
                  </c:pt>
                  <c:pt idx="43">
                    <c:v>2020</c:v>
                  </c:pt>
                  <c:pt idx="55">
                    <c:v>2021</c:v>
                  </c:pt>
                  <c:pt idx="67">
                    <c:v>2022</c:v>
                  </c:pt>
                  <c:pt idx="79">
                    <c:v>2023</c:v>
                  </c:pt>
                  <c:pt idx="91">
                    <c:v>2024</c:v>
                  </c:pt>
                </c:lvl>
              </c:multiLvlStrCache>
            </c:multiLvlStrRef>
          </c:cat>
          <c:val>
            <c:numRef>
              <c:f>IncomeRequired!$B$4:$B$115</c:f>
              <c:numCache>
                <c:formatCode>General</c:formatCode>
                <c:ptCount val="101"/>
                <c:pt idx="1">
                  <c:v>48841.863356342968</c:v>
                </c:pt>
                <c:pt idx="2">
                  <c:v>48252.652452875765</c:v>
                </c:pt>
                <c:pt idx="3">
                  <c:v>48332.178917524019</c:v>
                </c:pt>
                <c:pt idx="4">
                  <c:v>48380.462670015149</c:v>
                </c:pt>
                <c:pt idx="5">
                  <c:v>49527.432222681324</c:v>
                </c:pt>
                <c:pt idx="6">
                  <c:v>51133.248901901643</c:v>
                </c:pt>
                <c:pt idx="7">
                  <c:v>51222.254923849359</c:v>
                </c:pt>
                <c:pt idx="8">
                  <c:v>52219.739885402152</c:v>
                </c:pt>
                <c:pt idx="9">
                  <c:v>53868.012317357476</c:v>
                </c:pt>
                <c:pt idx="10">
                  <c:v>53985.215590995118</c:v>
                </c:pt>
                <c:pt idx="11">
                  <c:v>55016.593855302155</c:v>
                </c:pt>
                <c:pt idx="12">
                  <c:v>54684.186780681026</c:v>
                </c:pt>
                <c:pt idx="13">
                  <c:v>55030.059391380833</c:v>
                </c:pt>
                <c:pt idx="14">
                  <c:v>53913.912334611668</c:v>
                </c:pt>
                <c:pt idx="15">
                  <c:v>53513.629725210645</c:v>
                </c:pt>
                <c:pt idx="16">
                  <c:v>53994.198196693636</c:v>
                </c:pt>
                <c:pt idx="17">
                  <c:v>54048.85910684416</c:v>
                </c:pt>
                <c:pt idx="18">
                  <c:v>53466.383988514273</c:v>
                </c:pt>
                <c:pt idx="19">
                  <c:v>54303.198338733506</c:v>
                </c:pt>
                <c:pt idx="20">
                  <c:v>56857.986719172746</c:v>
                </c:pt>
                <c:pt idx="21">
                  <c:v>59122.576108996283</c:v>
                </c:pt>
                <c:pt idx="22">
                  <c:v>60965.119137341571</c:v>
                </c:pt>
                <c:pt idx="23">
                  <c:v>62455.37699805609</c:v>
                </c:pt>
                <c:pt idx="24">
                  <c:v>62436.306507224923</c:v>
                </c:pt>
                <c:pt idx="25">
                  <c:v>62100.312674519497</c:v>
                </c:pt>
                <c:pt idx="26">
                  <c:v>62072.113231142648</c:v>
                </c:pt>
                <c:pt idx="27">
                  <c:v>62367.014065496653</c:v>
                </c:pt>
                <c:pt idx="28">
                  <c:v>63197.384144085518</c:v>
                </c:pt>
                <c:pt idx="29">
                  <c:v>63371.473188235861</c:v>
                </c:pt>
                <c:pt idx="30">
                  <c:v>61097.106861769658</c:v>
                </c:pt>
                <c:pt idx="31">
                  <c:v>60417.466730304615</c:v>
                </c:pt>
                <c:pt idx="32">
                  <c:v>60981.726142762491</c:v>
                </c:pt>
                <c:pt idx="33">
                  <c:v>62004.996985344587</c:v>
                </c:pt>
                <c:pt idx="34">
                  <c:v>62770.013969513144</c:v>
                </c:pt>
                <c:pt idx="35">
                  <c:v>63150.560677474161</c:v>
                </c:pt>
                <c:pt idx="36">
                  <c:v>61474.978372654907</c:v>
                </c:pt>
                <c:pt idx="37">
                  <c:v>61156.198457782266</c:v>
                </c:pt>
                <c:pt idx="38">
                  <c:v>59674.705660974265</c:v>
                </c:pt>
                <c:pt idx="39">
                  <c:v>59095.701117381424</c:v>
                </c:pt>
                <c:pt idx="40">
                  <c:v>59197.055595697311</c:v>
                </c:pt>
                <c:pt idx="41">
                  <c:v>58465.357038118302</c:v>
                </c:pt>
                <c:pt idx="42">
                  <c:v>57811.967799396676</c:v>
                </c:pt>
                <c:pt idx="43">
                  <c:v>57585.213272262023</c:v>
                </c:pt>
                <c:pt idx="44">
                  <c:v>57627.294077694853</c:v>
                </c:pt>
                <c:pt idx="45">
                  <c:v>59591.1746696673</c:v>
                </c:pt>
                <c:pt idx="46">
                  <c:v>58763.723256656012</c:v>
                </c:pt>
                <c:pt idx="47">
                  <c:v>59764.806169534386</c:v>
                </c:pt>
                <c:pt idx="48">
                  <c:v>60865.889065245952</c:v>
                </c:pt>
                <c:pt idx="49">
                  <c:v>60745.431066639649</c:v>
                </c:pt>
                <c:pt idx="50">
                  <c:v>60802.520613603498</c:v>
                </c:pt>
                <c:pt idx="51">
                  <c:v>60516.331898691329</c:v>
                </c:pt>
                <c:pt idx="52">
                  <c:v>60161.479384270424</c:v>
                </c:pt>
                <c:pt idx="53">
                  <c:v>58752.722578397348</c:v>
                </c:pt>
                <c:pt idx="54">
                  <c:v>57463.470972843621</c:v>
                </c:pt>
                <c:pt idx="55">
                  <c:v>58164.890608709386</c:v>
                </c:pt>
                <c:pt idx="56">
                  <c:v>59807.139326269244</c:v>
                </c:pt>
                <c:pt idx="57">
                  <c:v>62813.490991282451</c:v>
                </c:pt>
                <c:pt idx="58">
                  <c:v>65122.956396443078</c:v>
                </c:pt>
                <c:pt idx="59">
                  <c:v>65460.657881798354</c:v>
                </c:pt>
                <c:pt idx="60">
                  <c:v>66039.572062284948</c:v>
                </c:pt>
                <c:pt idx="61">
                  <c:v>65171.508726577646</c:v>
                </c:pt>
                <c:pt idx="62">
                  <c:v>64434.225885886408</c:v>
                </c:pt>
                <c:pt idx="63">
                  <c:v>64825.989134431271</c:v>
                </c:pt>
                <c:pt idx="64">
                  <c:v>65976.448481038737</c:v>
                </c:pt>
                <c:pt idx="65">
                  <c:v>65850.803173314227</c:v>
                </c:pt>
                <c:pt idx="66">
                  <c:v>65339.885363566063</c:v>
                </c:pt>
                <c:pt idx="67">
                  <c:v>68715.808524059394</c:v>
                </c:pt>
                <c:pt idx="68">
                  <c:v>73262.531738353457</c:v>
                </c:pt>
                <c:pt idx="69">
                  <c:v>78819.793691196595</c:v>
                </c:pt>
                <c:pt idx="70">
                  <c:v>89041.060977786168</c:v>
                </c:pt>
                <c:pt idx="71">
                  <c:v>94573.432673915871</c:v>
                </c:pt>
                <c:pt idx="72">
                  <c:v>99516.171301631606</c:v>
                </c:pt>
                <c:pt idx="73">
                  <c:v>97494.065003637472</c:v>
                </c:pt>
                <c:pt idx="74">
                  <c:v>93594.778497401407</c:v>
                </c:pt>
                <c:pt idx="75">
                  <c:v>100872.27824207052</c:v>
                </c:pt>
                <c:pt idx="76">
                  <c:v>107794.38582557965</c:v>
                </c:pt>
                <c:pt idx="77">
                  <c:v>104882.07769414112</c:v>
                </c:pt>
                <c:pt idx="78">
                  <c:v>98434.508361635046</c:v>
                </c:pt>
                <c:pt idx="79">
                  <c:v>98113.071737649298</c:v>
                </c:pt>
                <c:pt idx="80">
                  <c:v>100213.49672371926</c:v>
                </c:pt>
                <c:pt idx="81">
                  <c:v>104936.47630515731</c:v>
                </c:pt>
                <c:pt idx="82">
                  <c:v>104299.23632553978</c:v>
                </c:pt>
                <c:pt idx="83">
                  <c:v>107436.48989983881</c:v>
                </c:pt>
                <c:pt idx="84">
                  <c:v>111171.10488708808</c:v>
                </c:pt>
                <c:pt idx="85">
                  <c:v>111326.94158513924</c:v>
                </c:pt>
                <c:pt idx="86">
                  <c:v>112627.23030974463</c:v>
                </c:pt>
                <c:pt idx="87">
                  <c:v>112523.44222853388</c:v>
                </c:pt>
                <c:pt idx="88">
                  <c:v>115626.49883560264</c:v>
                </c:pt>
                <c:pt idx="89">
                  <c:v>112681.30714445403</c:v>
                </c:pt>
                <c:pt idx="90">
                  <c:v>104417.69892679692</c:v>
                </c:pt>
                <c:pt idx="91">
                  <c:v>103484.99445628484</c:v>
                </c:pt>
                <c:pt idx="92">
                  <c:v>106045.07332907396</c:v>
                </c:pt>
                <c:pt idx="93">
                  <c:v>108546.89899879831</c:v>
                </c:pt>
                <c:pt idx="94">
                  <c:v>111355.6271250025</c:v>
                </c:pt>
                <c:pt idx="95">
                  <c:v>114863.69750922277</c:v>
                </c:pt>
                <c:pt idx="96">
                  <c:v>113996.6970918689</c:v>
                </c:pt>
                <c:pt idx="97">
                  <c:v>111607.18353132796</c:v>
                </c:pt>
                <c:pt idx="98">
                  <c:v>106579.5293367251</c:v>
                </c:pt>
                <c:pt idx="99">
                  <c:v>102487.65257514779</c:v>
                </c:pt>
                <c:pt idx="100">
                  <c:v>104813.35520560961</c:v>
                </c:pt>
              </c:numCache>
            </c:numRef>
          </c:val>
          <c:smooth val="0"/>
          <c:extLst>
            <c:ext xmlns:c16="http://schemas.microsoft.com/office/drawing/2014/chart" uri="{C3380CC4-5D6E-409C-BE32-E72D297353CC}">
              <c16:uniqueId val="{00000000-A962-4B48-85A5-399F2D13AD63}"/>
            </c:ext>
          </c:extLst>
        </c:ser>
        <c:dLbls>
          <c:showLegendKey val="0"/>
          <c:showVal val="0"/>
          <c:showCatName val="0"/>
          <c:showSerName val="0"/>
          <c:showPercent val="0"/>
          <c:showBubbleSize val="0"/>
        </c:dLbls>
        <c:smooth val="0"/>
        <c:axId val="606978584"/>
        <c:axId val="606974360"/>
      </c:lineChart>
      <c:catAx>
        <c:axId val="606978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06974360"/>
        <c:crosses val="autoZero"/>
        <c:auto val="1"/>
        <c:lblAlgn val="ctr"/>
        <c:lblOffset val="100"/>
        <c:noMultiLvlLbl val="0"/>
      </c:catAx>
      <c:valAx>
        <c:axId val="606974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r>
                  <a:rPr lang="en-US"/>
                  <a:t>Income</a:t>
                </a:r>
                <a:r>
                  <a:rPr lang="en-US" baseline="0"/>
                  <a:t> Required</a:t>
                </a:r>
                <a:endParaRPr lang="en-US"/>
              </a:p>
            </c:rich>
          </c:tx>
          <c:overlay val="0"/>
          <c:spPr>
            <a:noFill/>
            <a:ln>
              <a:noFill/>
            </a:ln>
            <a:effectLst/>
          </c:spPr>
          <c:txPr>
            <a:bodyPr rot="-54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606978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5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[USDW.xlsx]IncomeRequiredYoY!PivotTable1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95165606752544E-2"/>
          <c:y val="0.16618559866646196"/>
          <c:w val="0.90491333946357788"/>
          <c:h val="0.73780136814374531"/>
        </c:manualLayout>
      </c:layout>
      <c:barChart>
        <c:barDir val="col"/>
        <c:grouping val="clustered"/>
        <c:varyColors val="0"/>
        <c:ser>
          <c:idx val="0"/>
          <c:order val="0"/>
          <c:tx>
            <c:strRef>
              <c:f>IncomeRequiredYoY!$B$3</c:f>
              <c:strCache>
                <c:ptCount val="1"/>
                <c:pt idx="0">
                  <c:v>Total</c:v>
                </c:pt>
              </c:strCache>
            </c:strRef>
          </c:tx>
          <c:spPr>
            <a:solidFill>
              <a:schemeClr val="accent1"/>
            </a:solidFill>
            <a:ln>
              <a:noFill/>
            </a:ln>
            <a:effectLst/>
          </c:spPr>
          <c:invertIfNegative val="0"/>
          <c:cat>
            <c:multiLvlStrRef>
              <c:f>IncomeRequiredYoY!$A$4:$A$115</c:f>
              <c:multiLvlStrCache>
                <c:ptCount val="101"/>
                <c:lvl>
                  <c:pt idx="0">
                    <c:v>&lt;7/1/2016</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pt idx="39">
                    <c:v>Sep</c:v>
                  </c:pt>
                  <c:pt idx="40">
                    <c:v>Oct</c:v>
                  </c:pt>
                  <c:pt idx="41">
                    <c:v>Nov</c:v>
                  </c:pt>
                  <c:pt idx="42">
                    <c:v>Dec</c:v>
                  </c:pt>
                  <c:pt idx="43">
                    <c:v>Jan</c:v>
                  </c:pt>
                  <c:pt idx="44">
                    <c:v>Feb</c:v>
                  </c:pt>
                  <c:pt idx="45">
                    <c:v>Mar</c:v>
                  </c:pt>
                  <c:pt idx="46">
                    <c:v>Apr</c:v>
                  </c:pt>
                  <c:pt idx="47">
                    <c:v>May</c:v>
                  </c:pt>
                  <c:pt idx="48">
                    <c:v>Jun</c:v>
                  </c:pt>
                  <c:pt idx="49">
                    <c:v>Jul</c:v>
                  </c:pt>
                  <c:pt idx="50">
                    <c:v>Aug</c:v>
                  </c:pt>
                  <c:pt idx="51">
                    <c:v>Sep</c:v>
                  </c:pt>
                  <c:pt idx="52">
                    <c:v>Oct</c:v>
                  </c:pt>
                  <c:pt idx="53">
                    <c:v>Nov</c:v>
                  </c:pt>
                  <c:pt idx="54">
                    <c:v>Dec</c:v>
                  </c:pt>
                  <c:pt idx="55">
                    <c:v>Jan</c:v>
                  </c:pt>
                  <c:pt idx="56">
                    <c:v>Feb</c:v>
                  </c:pt>
                  <c:pt idx="57">
                    <c:v>Mar</c:v>
                  </c:pt>
                  <c:pt idx="58">
                    <c:v>Apr</c:v>
                  </c:pt>
                  <c:pt idx="59">
                    <c:v>May</c:v>
                  </c:pt>
                  <c:pt idx="60">
                    <c:v>Jun</c:v>
                  </c:pt>
                  <c:pt idx="61">
                    <c:v>Jul</c:v>
                  </c:pt>
                  <c:pt idx="62">
                    <c:v>Aug</c:v>
                  </c:pt>
                  <c:pt idx="63">
                    <c:v>Sep</c:v>
                  </c:pt>
                  <c:pt idx="64">
                    <c:v>Oct</c:v>
                  </c:pt>
                  <c:pt idx="65">
                    <c:v>Nov</c:v>
                  </c:pt>
                  <c:pt idx="66">
                    <c:v>Dec</c:v>
                  </c:pt>
                  <c:pt idx="67">
                    <c:v>Jan</c:v>
                  </c:pt>
                  <c:pt idx="68">
                    <c:v>Feb</c:v>
                  </c:pt>
                  <c:pt idx="69">
                    <c:v>Mar</c:v>
                  </c:pt>
                  <c:pt idx="70">
                    <c:v>Apr</c:v>
                  </c:pt>
                  <c:pt idx="71">
                    <c:v>May</c:v>
                  </c:pt>
                  <c:pt idx="72">
                    <c:v>Jun</c:v>
                  </c:pt>
                  <c:pt idx="73">
                    <c:v>Jul</c:v>
                  </c:pt>
                  <c:pt idx="74">
                    <c:v>Aug</c:v>
                  </c:pt>
                  <c:pt idx="75">
                    <c:v>Sep</c:v>
                  </c:pt>
                  <c:pt idx="76">
                    <c:v>Oct</c:v>
                  </c:pt>
                  <c:pt idx="77">
                    <c:v>Nov</c:v>
                  </c:pt>
                  <c:pt idx="78">
                    <c:v>Dec</c:v>
                  </c:pt>
                  <c:pt idx="79">
                    <c:v>Jan</c:v>
                  </c:pt>
                  <c:pt idx="80">
                    <c:v>Feb</c:v>
                  </c:pt>
                  <c:pt idx="81">
                    <c:v>Mar</c:v>
                  </c:pt>
                  <c:pt idx="82">
                    <c:v>Apr</c:v>
                  </c:pt>
                  <c:pt idx="83">
                    <c:v>May</c:v>
                  </c:pt>
                  <c:pt idx="84">
                    <c:v>Jun</c:v>
                  </c:pt>
                  <c:pt idx="85">
                    <c:v>Jul</c:v>
                  </c:pt>
                  <c:pt idx="86">
                    <c:v>Aug</c:v>
                  </c:pt>
                  <c:pt idx="87">
                    <c:v>Sep</c:v>
                  </c:pt>
                  <c:pt idx="88">
                    <c:v>Oct</c:v>
                  </c:pt>
                  <c:pt idx="89">
                    <c:v>Nov</c:v>
                  </c:pt>
                  <c:pt idx="90">
                    <c:v>Dec</c:v>
                  </c:pt>
                  <c:pt idx="91">
                    <c:v>Jan</c:v>
                  </c:pt>
                  <c:pt idx="92">
                    <c:v>Feb</c:v>
                  </c:pt>
                  <c:pt idx="93">
                    <c:v>Mar</c:v>
                  </c:pt>
                  <c:pt idx="94">
                    <c:v>Apr</c:v>
                  </c:pt>
                  <c:pt idx="95">
                    <c:v>May</c:v>
                  </c:pt>
                  <c:pt idx="96">
                    <c:v>Jun</c:v>
                  </c:pt>
                  <c:pt idx="97">
                    <c:v>Jul</c:v>
                  </c:pt>
                  <c:pt idx="98">
                    <c:v>Aug</c:v>
                  </c:pt>
                  <c:pt idx="99">
                    <c:v>Sep</c:v>
                  </c:pt>
                  <c:pt idx="100">
                    <c:v>Oct</c:v>
                  </c:pt>
                </c:lvl>
                <c:lvl>
                  <c:pt idx="0">
                    <c:v>&lt;7/1/2016</c:v>
                  </c:pt>
                  <c:pt idx="1">
                    <c:v>2016</c:v>
                  </c:pt>
                  <c:pt idx="7">
                    <c:v>2017</c:v>
                  </c:pt>
                  <c:pt idx="19">
                    <c:v>2018</c:v>
                  </c:pt>
                  <c:pt idx="31">
                    <c:v>2019</c:v>
                  </c:pt>
                  <c:pt idx="43">
                    <c:v>2020</c:v>
                  </c:pt>
                  <c:pt idx="55">
                    <c:v>2021</c:v>
                  </c:pt>
                  <c:pt idx="67">
                    <c:v>2022</c:v>
                  </c:pt>
                  <c:pt idx="79">
                    <c:v>2023</c:v>
                  </c:pt>
                  <c:pt idx="91">
                    <c:v>2024</c:v>
                  </c:pt>
                </c:lvl>
              </c:multiLvlStrCache>
            </c:multiLvlStrRef>
          </c:cat>
          <c:val>
            <c:numRef>
              <c:f>IncomeRequiredYoY!$B$4:$B$115</c:f>
              <c:numCache>
                <c:formatCode>General</c:formatCode>
                <c:ptCount val="101"/>
                <c:pt idx="1">
                  <c:v>#N/A</c:v>
                </c:pt>
                <c:pt idx="2">
                  <c:v>#N/A</c:v>
                </c:pt>
                <c:pt idx="3">
                  <c:v>#N/A</c:v>
                </c:pt>
                <c:pt idx="4">
                  <c:v>#N/A</c:v>
                </c:pt>
                <c:pt idx="5">
                  <c:v>#N/A</c:v>
                </c:pt>
                <c:pt idx="6">
                  <c:v>#N/A</c:v>
                </c:pt>
                <c:pt idx="7">
                  <c:v>#N/A</c:v>
                </c:pt>
                <c:pt idx="8">
                  <c:v>#N/A</c:v>
                </c:pt>
                <c:pt idx="9">
                  <c:v>#N/A</c:v>
                </c:pt>
                <c:pt idx="10">
                  <c:v>#N/A</c:v>
                </c:pt>
                <c:pt idx="11">
                  <c:v>#N/A</c:v>
                </c:pt>
                <c:pt idx="12">
                  <c:v>#N/A</c:v>
                </c:pt>
                <c:pt idx="13">
                  <c:v>0.12669860668274893</c:v>
                </c:pt>
                <c:pt idx="14">
                  <c:v>0.1173253612796679</c:v>
                </c:pt>
                <c:pt idx="15">
                  <c:v>0.10720499103771967</c:v>
                </c:pt>
                <c:pt idx="16">
                  <c:v>0.11603310958325586</c:v>
                </c:pt>
                <c:pt idx="17">
                  <c:v>9.1291364830584282E-2</c:v>
                </c:pt>
                <c:pt idx="18">
                  <c:v>4.5628532055311297E-2</c:v>
                </c:pt>
                <c:pt idx="19">
                  <c:v>6.014853152139623E-2</c:v>
                </c:pt>
                <c:pt idx="20">
                  <c:v>8.8821714622657477E-2</c:v>
                </c:pt>
                <c:pt idx="21">
                  <c:v>9.7545158352643907E-2</c:v>
                </c:pt>
                <c:pt idx="22">
                  <c:v>0.12929287157483763</c:v>
                </c:pt>
                <c:pt idx="23">
                  <c:v>0.13520980892271345</c:v>
                </c:pt>
                <c:pt idx="24">
                  <c:v>0.14176163499760749</c:v>
                </c:pt>
                <c:pt idx="25">
                  <c:v>0.1284798410420406</c:v>
                </c:pt>
                <c:pt idx="26">
                  <c:v>0.15131902960219001</c:v>
                </c:pt>
                <c:pt idx="27">
                  <c:v>0.16544167132275681</c:v>
                </c:pt>
                <c:pt idx="28">
                  <c:v>0.1704476824318403</c:v>
                </c:pt>
                <c:pt idx="29">
                  <c:v>0.17248493743341914</c:v>
                </c:pt>
                <c:pt idx="30">
                  <c:v>0.14272001029459236</c:v>
                </c:pt>
                <c:pt idx="31">
                  <c:v>0.11259499584962587</c:v>
                </c:pt>
                <c:pt idx="32">
                  <c:v>7.252700388350547E-2</c:v>
                </c:pt>
                <c:pt idx="33">
                  <c:v>4.875330315503125E-2</c:v>
                </c:pt>
                <c:pt idx="34">
                  <c:v>2.9605368737253258E-2</c:v>
                </c:pt>
                <c:pt idx="35">
                  <c:v>1.1130885967427725E-2</c:v>
                </c:pt>
                <c:pt idx="36">
                  <c:v>-1.5396941112440315E-2</c:v>
                </c:pt>
                <c:pt idx="37">
                  <c:v>-1.5203050936080266E-2</c:v>
                </c:pt>
                <c:pt idx="38">
                  <c:v>-3.8622941049887803E-2</c:v>
                </c:pt>
                <c:pt idx="39">
                  <c:v>-5.2452614529208623E-2</c:v>
                </c:pt>
                <c:pt idx="40">
                  <c:v>-6.3298957742740483E-2</c:v>
                </c:pt>
                <c:pt idx="41">
                  <c:v>-7.7418369864065584E-2</c:v>
                </c:pt>
                <c:pt idx="42">
                  <c:v>-5.3769142781269645E-2</c:v>
                </c:pt>
                <c:pt idx="43">
                  <c:v>-4.6878057146708722E-2</c:v>
                </c:pt>
                <c:pt idx="44">
                  <c:v>-5.5007168167307656E-2</c:v>
                </c:pt>
                <c:pt idx="45">
                  <c:v>-3.8929480413454662E-2</c:v>
                </c:pt>
                <c:pt idx="46">
                  <c:v>-6.3824913513687478E-2</c:v>
                </c:pt>
                <c:pt idx="47">
                  <c:v>-5.361400550711936E-2</c:v>
                </c:pt>
                <c:pt idx="48">
                  <c:v>-9.9079222723222216E-3</c:v>
                </c:pt>
                <c:pt idx="49">
                  <c:v>-6.7166926902132544E-3</c:v>
                </c:pt>
                <c:pt idx="50">
                  <c:v>1.889938023383993E-2</c:v>
                </c:pt>
                <c:pt idx="51">
                  <c:v>2.4039494488577343E-2</c:v>
                </c:pt>
                <c:pt idx="52">
                  <c:v>1.6291752670266443E-2</c:v>
                </c:pt>
                <c:pt idx="53">
                  <c:v>4.9151421429221671E-3</c:v>
                </c:pt>
                <c:pt idx="54">
                  <c:v>-6.0281087086036201E-3</c:v>
                </c:pt>
                <c:pt idx="55">
                  <c:v>1.0066426839589134E-2</c:v>
                </c:pt>
                <c:pt idx="56">
                  <c:v>3.7826611217168342E-2</c:v>
                </c:pt>
                <c:pt idx="57">
                  <c:v>5.407371711461418E-2</c:v>
                </c:pt>
                <c:pt idx="58">
                  <c:v>0.10821698808995688</c:v>
                </c:pt>
                <c:pt idx="59">
                  <c:v>9.5304445497682813E-2</c:v>
                </c:pt>
                <c:pt idx="60">
                  <c:v>8.5001354231316675E-2</c:v>
                </c:pt>
                <c:pt idx="61">
                  <c:v>7.286272534772946E-2</c:v>
                </c:pt>
                <c:pt idx="62">
                  <c:v>5.9729518375762534E-2</c:v>
                </c:pt>
                <c:pt idx="63">
                  <c:v>7.1214779556609889E-2</c:v>
                </c:pt>
                <c:pt idx="64">
                  <c:v>9.6656019038798294E-2</c:v>
                </c:pt>
                <c:pt idx="65">
                  <c:v>0.12081279442744931</c:v>
                </c:pt>
                <c:pt idx="66">
                  <c:v>0.13706819754143842</c:v>
                </c:pt>
                <c:pt idx="67">
                  <c:v>0.18139667770251344</c:v>
                </c:pt>
                <c:pt idx="68">
                  <c:v>0.22497970248468591</c:v>
                </c:pt>
                <c:pt idx="69">
                  <c:v>0.25482268931901225</c:v>
                </c:pt>
                <c:pt idx="70">
                  <c:v>0.36727608672645368</c:v>
                </c:pt>
                <c:pt idx="71">
                  <c:v>0.44473697231528225</c:v>
                </c:pt>
                <c:pt idx="72">
                  <c:v>0.50691726481469845</c:v>
                </c:pt>
                <c:pt idx="73">
                  <c:v>0.49596145476187725</c:v>
                </c:pt>
                <c:pt idx="74">
                  <c:v>0.45256309376880849</c:v>
                </c:pt>
                <c:pt idx="75">
                  <c:v>0.55604688164324279</c:v>
                </c:pt>
                <c:pt idx="76">
                  <c:v>0.63383128839617908</c:v>
                </c:pt>
                <c:pt idx="77">
                  <c:v>0.59272283161223704</c:v>
                </c:pt>
                <c:pt idx="78">
                  <c:v>0.50649955710700945</c:v>
                </c:pt>
                <c:pt idx="79">
                  <c:v>0.42780931848159903</c:v>
                </c:pt>
                <c:pt idx="80">
                  <c:v>0.36786832704085742</c:v>
                </c:pt>
                <c:pt idx="81">
                  <c:v>0.33134675175986528</c:v>
                </c:pt>
                <c:pt idx="82">
                  <c:v>0.17136111340317697</c:v>
                </c:pt>
                <c:pt idx="83">
                  <c:v>0.1360113180016852</c:v>
                </c:pt>
                <c:pt idx="84">
                  <c:v>0.11711597655953414</c:v>
                </c:pt>
                <c:pt idx="85">
                  <c:v>0.14188429399251809</c:v>
                </c:pt>
                <c:pt idx="86">
                  <c:v>0.20334950429816598</c:v>
                </c:pt>
                <c:pt idx="87">
                  <c:v>0.11550412253506577</c:v>
                </c:pt>
                <c:pt idx="88">
                  <c:v>7.265789354462307E-2</c:v>
                </c:pt>
                <c:pt idx="89">
                  <c:v>7.4361889293012989E-2</c:v>
                </c:pt>
                <c:pt idx="90">
                  <c:v>6.078346572505286E-2</c:v>
                </c:pt>
                <c:pt idx="91">
                  <c:v>5.475236503653523E-2</c:v>
                </c:pt>
                <c:pt idx="92">
                  <c:v>5.8191529045552581E-2</c:v>
                </c:pt>
                <c:pt idx="93">
                  <c:v>3.4405793111842428E-2</c:v>
                </c:pt>
                <c:pt idx="94">
                  <c:v>6.7655248955402203E-2</c:v>
                </c:pt>
                <c:pt idx="95">
                  <c:v>6.9131145445166853E-2</c:v>
                </c:pt>
                <c:pt idx="96">
                  <c:v>2.5416606299367674E-2</c:v>
                </c:pt>
                <c:pt idx="97">
                  <c:v>2.5172877490252299E-3</c:v>
                </c:pt>
                <c:pt idx="98">
                  <c:v>-5.3696614543279543E-2</c:v>
                </c:pt>
                <c:pt idx="99">
                  <c:v>-8.9188434468646202E-2</c:v>
                </c:pt>
                <c:pt idx="100">
                  <c:v>-9.3517867780180092E-2</c:v>
                </c:pt>
              </c:numCache>
            </c:numRef>
          </c:val>
          <c:extLst>
            <c:ext xmlns:c16="http://schemas.microsoft.com/office/drawing/2014/chart" uri="{C3380CC4-5D6E-409C-BE32-E72D297353CC}">
              <c16:uniqueId val="{00000001-D81C-4994-AA87-5189D9F55BB8}"/>
            </c:ext>
          </c:extLst>
        </c:ser>
        <c:dLbls>
          <c:showLegendKey val="0"/>
          <c:showVal val="0"/>
          <c:showCatName val="0"/>
          <c:showSerName val="0"/>
          <c:showPercent val="0"/>
          <c:showBubbleSize val="0"/>
        </c:dLbls>
        <c:gapWidth val="60"/>
        <c:axId val="606978584"/>
        <c:axId val="606974360"/>
      </c:barChart>
      <c:catAx>
        <c:axId val="6069785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800" b="0" i="0" u="none" strike="noStrike" kern="1200" baseline="0">
                <a:solidFill>
                  <a:schemeClr val="tx1">
                    <a:lumMod val="65000"/>
                    <a:lumOff val="35000"/>
                  </a:schemeClr>
                </a:solidFill>
                <a:latin typeface="+mn-lt"/>
                <a:ea typeface="+mn-ea"/>
                <a:cs typeface="+mn-cs"/>
              </a:defRPr>
            </a:pPr>
            <a:endParaRPr lang="en-US"/>
          </a:p>
        </c:txPr>
        <c:crossAx val="606974360"/>
        <c:crosses val="autoZero"/>
        <c:auto val="1"/>
        <c:lblAlgn val="ctr"/>
        <c:lblOffset val="100"/>
        <c:noMultiLvlLbl val="0"/>
      </c:catAx>
      <c:valAx>
        <c:axId val="606974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r>
                  <a:rPr lang="en-US"/>
                  <a:t>IncomeRequiredYoY</a:t>
                </a:r>
              </a:p>
            </c:rich>
          </c:tx>
          <c:overlay val="0"/>
          <c:spPr>
            <a:noFill/>
            <a:ln>
              <a:noFill/>
            </a:ln>
            <a:effectLst/>
          </c:spPr>
          <c:txPr>
            <a:bodyPr rot="-54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606978584"/>
        <c:crosses val="autoZero"/>
        <c:crossBetween val="between"/>
      </c:valAx>
      <c:spPr>
        <a:noFill/>
        <a:ln w="19050">
          <a:solidFill>
            <a:schemeClr val="tx1">
              <a:lumMod val="15000"/>
              <a:lumOff val="8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5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[USDW.xlsx]IncomeRequired!PivotTable1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IncomeRequired!$B$3</c:f>
              <c:strCache>
                <c:ptCount val="1"/>
                <c:pt idx="0">
                  <c:v>Total</c:v>
                </c:pt>
              </c:strCache>
            </c:strRef>
          </c:tx>
          <c:spPr>
            <a:ln w="28575" cap="rnd">
              <a:solidFill>
                <a:schemeClr val="accent1"/>
              </a:solidFill>
              <a:round/>
            </a:ln>
            <a:effectLst/>
          </c:spPr>
          <c:marker>
            <c:symbol val="none"/>
          </c:marker>
          <c:cat>
            <c:multiLvlStrRef>
              <c:f>IncomeRequired!$A$4:$A$115</c:f>
              <c:multiLvlStrCache>
                <c:ptCount val="101"/>
                <c:lvl>
                  <c:pt idx="0">
                    <c:v>&lt;7/1/2016</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pt idx="39">
                    <c:v>Sep</c:v>
                  </c:pt>
                  <c:pt idx="40">
                    <c:v>Oct</c:v>
                  </c:pt>
                  <c:pt idx="41">
                    <c:v>Nov</c:v>
                  </c:pt>
                  <c:pt idx="42">
                    <c:v>Dec</c:v>
                  </c:pt>
                  <c:pt idx="43">
                    <c:v>Jan</c:v>
                  </c:pt>
                  <c:pt idx="44">
                    <c:v>Feb</c:v>
                  </c:pt>
                  <c:pt idx="45">
                    <c:v>Mar</c:v>
                  </c:pt>
                  <c:pt idx="46">
                    <c:v>Apr</c:v>
                  </c:pt>
                  <c:pt idx="47">
                    <c:v>May</c:v>
                  </c:pt>
                  <c:pt idx="48">
                    <c:v>Jun</c:v>
                  </c:pt>
                  <c:pt idx="49">
                    <c:v>Jul</c:v>
                  </c:pt>
                  <c:pt idx="50">
                    <c:v>Aug</c:v>
                  </c:pt>
                  <c:pt idx="51">
                    <c:v>Sep</c:v>
                  </c:pt>
                  <c:pt idx="52">
                    <c:v>Oct</c:v>
                  </c:pt>
                  <c:pt idx="53">
                    <c:v>Nov</c:v>
                  </c:pt>
                  <c:pt idx="54">
                    <c:v>Dec</c:v>
                  </c:pt>
                  <c:pt idx="55">
                    <c:v>Jan</c:v>
                  </c:pt>
                  <c:pt idx="56">
                    <c:v>Feb</c:v>
                  </c:pt>
                  <c:pt idx="57">
                    <c:v>Mar</c:v>
                  </c:pt>
                  <c:pt idx="58">
                    <c:v>Apr</c:v>
                  </c:pt>
                  <c:pt idx="59">
                    <c:v>May</c:v>
                  </c:pt>
                  <c:pt idx="60">
                    <c:v>Jun</c:v>
                  </c:pt>
                  <c:pt idx="61">
                    <c:v>Jul</c:v>
                  </c:pt>
                  <c:pt idx="62">
                    <c:v>Aug</c:v>
                  </c:pt>
                  <c:pt idx="63">
                    <c:v>Sep</c:v>
                  </c:pt>
                  <c:pt idx="64">
                    <c:v>Oct</c:v>
                  </c:pt>
                  <c:pt idx="65">
                    <c:v>Nov</c:v>
                  </c:pt>
                  <c:pt idx="66">
                    <c:v>Dec</c:v>
                  </c:pt>
                  <c:pt idx="67">
                    <c:v>Jan</c:v>
                  </c:pt>
                  <c:pt idx="68">
                    <c:v>Feb</c:v>
                  </c:pt>
                  <c:pt idx="69">
                    <c:v>Mar</c:v>
                  </c:pt>
                  <c:pt idx="70">
                    <c:v>Apr</c:v>
                  </c:pt>
                  <c:pt idx="71">
                    <c:v>May</c:v>
                  </c:pt>
                  <c:pt idx="72">
                    <c:v>Jun</c:v>
                  </c:pt>
                  <c:pt idx="73">
                    <c:v>Jul</c:v>
                  </c:pt>
                  <c:pt idx="74">
                    <c:v>Aug</c:v>
                  </c:pt>
                  <c:pt idx="75">
                    <c:v>Sep</c:v>
                  </c:pt>
                  <c:pt idx="76">
                    <c:v>Oct</c:v>
                  </c:pt>
                  <c:pt idx="77">
                    <c:v>Nov</c:v>
                  </c:pt>
                  <c:pt idx="78">
                    <c:v>Dec</c:v>
                  </c:pt>
                  <c:pt idx="79">
                    <c:v>Jan</c:v>
                  </c:pt>
                  <c:pt idx="80">
                    <c:v>Feb</c:v>
                  </c:pt>
                  <c:pt idx="81">
                    <c:v>Mar</c:v>
                  </c:pt>
                  <c:pt idx="82">
                    <c:v>Apr</c:v>
                  </c:pt>
                  <c:pt idx="83">
                    <c:v>May</c:v>
                  </c:pt>
                  <c:pt idx="84">
                    <c:v>Jun</c:v>
                  </c:pt>
                  <c:pt idx="85">
                    <c:v>Jul</c:v>
                  </c:pt>
                  <c:pt idx="86">
                    <c:v>Aug</c:v>
                  </c:pt>
                  <c:pt idx="87">
                    <c:v>Sep</c:v>
                  </c:pt>
                  <c:pt idx="88">
                    <c:v>Oct</c:v>
                  </c:pt>
                  <c:pt idx="89">
                    <c:v>Nov</c:v>
                  </c:pt>
                  <c:pt idx="90">
                    <c:v>Dec</c:v>
                  </c:pt>
                  <c:pt idx="91">
                    <c:v>Jan</c:v>
                  </c:pt>
                  <c:pt idx="92">
                    <c:v>Feb</c:v>
                  </c:pt>
                  <c:pt idx="93">
                    <c:v>Mar</c:v>
                  </c:pt>
                  <c:pt idx="94">
                    <c:v>Apr</c:v>
                  </c:pt>
                  <c:pt idx="95">
                    <c:v>May</c:v>
                  </c:pt>
                  <c:pt idx="96">
                    <c:v>Jun</c:v>
                  </c:pt>
                  <c:pt idx="97">
                    <c:v>Jul</c:v>
                  </c:pt>
                  <c:pt idx="98">
                    <c:v>Aug</c:v>
                  </c:pt>
                  <c:pt idx="99">
                    <c:v>Sep</c:v>
                  </c:pt>
                  <c:pt idx="100">
                    <c:v>Oct</c:v>
                  </c:pt>
                </c:lvl>
                <c:lvl>
                  <c:pt idx="0">
                    <c:v>&lt;7/1/2016</c:v>
                  </c:pt>
                  <c:pt idx="1">
                    <c:v>2016</c:v>
                  </c:pt>
                  <c:pt idx="7">
                    <c:v>2017</c:v>
                  </c:pt>
                  <c:pt idx="19">
                    <c:v>2018</c:v>
                  </c:pt>
                  <c:pt idx="31">
                    <c:v>2019</c:v>
                  </c:pt>
                  <c:pt idx="43">
                    <c:v>2020</c:v>
                  </c:pt>
                  <c:pt idx="55">
                    <c:v>2021</c:v>
                  </c:pt>
                  <c:pt idx="67">
                    <c:v>2022</c:v>
                  </c:pt>
                  <c:pt idx="79">
                    <c:v>2023</c:v>
                  </c:pt>
                  <c:pt idx="91">
                    <c:v>2024</c:v>
                  </c:pt>
                </c:lvl>
              </c:multiLvlStrCache>
            </c:multiLvlStrRef>
          </c:cat>
          <c:val>
            <c:numRef>
              <c:f>IncomeRequired!$B$4:$B$115</c:f>
              <c:numCache>
                <c:formatCode>General</c:formatCode>
                <c:ptCount val="101"/>
                <c:pt idx="1">
                  <c:v>48841.863356342968</c:v>
                </c:pt>
                <c:pt idx="2">
                  <c:v>48252.652452875765</c:v>
                </c:pt>
                <c:pt idx="3">
                  <c:v>48332.178917524019</c:v>
                </c:pt>
                <c:pt idx="4">
                  <c:v>48380.462670015149</c:v>
                </c:pt>
                <c:pt idx="5">
                  <c:v>49527.432222681324</c:v>
                </c:pt>
                <c:pt idx="6">
                  <c:v>51133.248901901643</c:v>
                </c:pt>
                <c:pt idx="7">
                  <c:v>51222.254923849359</c:v>
                </c:pt>
                <c:pt idx="8">
                  <c:v>52219.739885402152</c:v>
                </c:pt>
                <c:pt idx="9">
                  <c:v>53868.012317357476</c:v>
                </c:pt>
                <c:pt idx="10">
                  <c:v>53985.215590995118</c:v>
                </c:pt>
                <c:pt idx="11">
                  <c:v>55016.593855302155</c:v>
                </c:pt>
                <c:pt idx="12">
                  <c:v>54684.186780681026</c:v>
                </c:pt>
                <c:pt idx="13">
                  <c:v>55030.059391380833</c:v>
                </c:pt>
                <c:pt idx="14">
                  <c:v>53913.912334611668</c:v>
                </c:pt>
                <c:pt idx="15">
                  <c:v>53513.629725210645</c:v>
                </c:pt>
                <c:pt idx="16">
                  <c:v>53994.198196693636</c:v>
                </c:pt>
                <c:pt idx="17">
                  <c:v>54048.85910684416</c:v>
                </c:pt>
                <c:pt idx="18">
                  <c:v>53466.383988514273</c:v>
                </c:pt>
                <c:pt idx="19">
                  <c:v>54303.198338733506</c:v>
                </c:pt>
                <c:pt idx="20">
                  <c:v>56857.986719172746</c:v>
                </c:pt>
                <c:pt idx="21">
                  <c:v>59122.576108996283</c:v>
                </c:pt>
                <c:pt idx="22">
                  <c:v>60965.119137341571</c:v>
                </c:pt>
                <c:pt idx="23">
                  <c:v>62455.37699805609</c:v>
                </c:pt>
                <c:pt idx="24">
                  <c:v>62436.306507224923</c:v>
                </c:pt>
                <c:pt idx="25">
                  <c:v>62100.312674519497</c:v>
                </c:pt>
                <c:pt idx="26">
                  <c:v>62072.113231142648</c:v>
                </c:pt>
                <c:pt idx="27">
                  <c:v>62367.014065496653</c:v>
                </c:pt>
                <c:pt idx="28">
                  <c:v>63197.384144085518</c:v>
                </c:pt>
                <c:pt idx="29">
                  <c:v>63371.473188235861</c:v>
                </c:pt>
                <c:pt idx="30">
                  <c:v>61097.106861769658</c:v>
                </c:pt>
                <c:pt idx="31">
                  <c:v>60417.466730304615</c:v>
                </c:pt>
                <c:pt idx="32">
                  <c:v>60981.726142762491</c:v>
                </c:pt>
                <c:pt idx="33">
                  <c:v>62004.996985344587</c:v>
                </c:pt>
                <c:pt idx="34">
                  <c:v>62770.013969513144</c:v>
                </c:pt>
                <c:pt idx="35">
                  <c:v>63150.560677474161</c:v>
                </c:pt>
                <c:pt idx="36">
                  <c:v>61474.978372654907</c:v>
                </c:pt>
                <c:pt idx="37">
                  <c:v>61156.198457782266</c:v>
                </c:pt>
                <c:pt idx="38">
                  <c:v>59674.705660974265</c:v>
                </c:pt>
                <c:pt idx="39">
                  <c:v>59095.701117381424</c:v>
                </c:pt>
                <c:pt idx="40">
                  <c:v>59197.055595697311</c:v>
                </c:pt>
                <c:pt idx="41">
                  <c:v>58465.357038118302</c:v>
                </c:pt>
                <c:pt idx="42">
                  <c:v>57811.967799396676</c:v>
                </c:pt>
                <c:pt idx="43">
                  <c:v>57585.213272262023</c:v>
                </c:pt>
                <c:pt idx="44">
                  <c:v>57627.294077694853</c:v>
                </c:pt>
                <c:pt idx="45">
                  <c:v>59591.1746696673</c:v>
                </c:pt>
                <c:pt idx="46">
                  <c:v>58763.723256656012</c:v>
                </c:pt>
                <c:pt idx="47">
                  <c:v>59764.806169534386</c:v>
                </c:pt>
                <c:pt idx="48">
                  <c:v>60865.889065245952</c:v>
                </c:pt>
                <c:pt idx="49">
                  <c:v>60745.431066639649</c:v>
                </c:pt>
                <c:pt idx="50">
                  <c:v>60802.520613603498</c:v>
                </c:pt>
                <c:pt idx="51">
                  <c:v>60516.331898691329</c:v>
                </c:pt>
                <c:pt idx="52">
                  <c:v>60161.479384270424</c:v>
                </c:pt>
                <c:pt idx="53">
                  <c:v>58752.722578397348</c:v>
                </c:pt>
                <c:pt idx="54">
                  <c:v>57463.470972843621</c:v>
                </c:pt>
                <c:pt idx="55">
                  <c:v>58164.890608709386</c:v>
                </c:pt>
                <c:pt idx="56">
                  <c:v>59807.139326269244</c:v>
                </c:pt>
                <c:pt idx="57">
                  <c:v>62813.490991282451</c:v>
                </c:pt>
                <c:pt idx="58">
                  <c:v>65122.956396443078</c:v>
                </c:pt>
                <c:pt idx="59">
                  <c:v>65460.657881798354</c:v>
                </c:pt>
                <c:pt idx="60">
                  <c:v>66039.572062284948</c:v>
                </c:pt>
                <c:pt idx="61">
                  <c:v>65171.508726577646</c:v>
                </c:pt>
                <c:pt idx="62">
                  <c:v>64434.225885886408</c:v>
                </c:pt>
                <c:pt idx="63">
                  <c:v>64825.989134431271</c:v>
                </c:pt>
                <c:pt idx="64">
                  <c:v>65976.448481038737</c:v>
                </c:pt>
                <c:pt idx="65">
                  <c:v>65850.803173314227</c:v>
                </c:pt>
                <c:pt idx="66">
                  <c:v>65339.885363566063</c:v>
                </c:pt>
                <c:pt idx="67">
                  <c:v>68715.808524059394</c:v>
                </c:pt>
                <c:pt idx="68">
                  <c:v>73262.531738353457</c:v>
                </c:pt>
                <c:pt idx="69">
                  <c:v>78819.793691196595</c:v>
                </c:pt>
                <c:pt idx="70">
                  <c:v>89041.060977786168</c:v>
                </c:pt>
                <c:pt idx="71">
                  <c:v>94573.432673915871</c:v>
                </c:pt>
                <c:pt idx="72">
                  <c:v>99516.171301631606</c:v>
                </c:pt>
                <c:pt idx="73">
                  <c:v>97494.065003637472</c:v>
                </c:pt>
                <c:pt idx="74">
                  <c:v>93594.778497401407</c:v>
                </c:pt>
                <c:pt idx="75">
                  <c:v>100872.27824207052</c:v>
                </c:pt>
                <c:pt idx="76">
                  <c:v>107794.38582557965</c:v>
                </c:pt>
                <c:pt idx="77">
                  <c:v>104882.07769414112</c:v>
                </c:pt>
                <c:pt idx="78">
                  <c:v>98434.508361635046</c:v>
                </c:pt>
                <c:pt idx="79">
                  <c:v>98113.071737649298</c:v>
                </c:pt>
                <c:pt idx="80">
                  <c:v>100213.49672371926</c:v>
                </c:pt>
                <c:pt idx="81">
                  <c:v>104936.47630515731</c:v>
                </c:pt>
                <c:pt idx="82">
                  <c:v>104299.23632553978</c:v>
                </c:pt>
                <c:pt idx="83">
                  <c:v>107436.48989983881</c:v>
                </c:pt>
                <c:pt idx="84">
                  <c:v>111171.10488708808</c:v>
                </c:pt>
                <c:pt idx="85">
                  <c:v>111326.94158513924</c:v>
                </c:pt>
                <c:pt idx="86">
                  <c:v>112627.23030974463</c:v>
                </c:pt>
                <c:pt idx="87">
                  <c:v>112523.44222853388</c:v>
                </c:pt>
                <c:pt idx="88">
                  <c:v>115626.49883560264</c:v>
                </c:pt>
                <c:pt idx="89">
                  <c:v>112681.30714445403</c:v>
                </c:pt>
                <c:pt idx="90">
                  <c:v>104417.69892679692</c:v>
                </c:pt>
                <c:pt idx="91">
                  <c:v>103484.99445628484</c:v>
                </c:pt>
                <c:pt idx="92">
                  <c:v>106045.07332907396</c:v>
                </c:pt>
                <c:pt idx="93">
                  <c:v>108546.89899879831</c:v>
                </c:pt>
                <c:pt idx="94">
                  <c:v>111355.6271250025</c:v>
                </c:pt>
                <c:pt idx="95">
                  <c:v>114863.69750922277</c:v>
                </c:pt>
                <c:pt idx="96">
                  <c:v>113996.6970918689</c:v>
                </c:pt>
                <c:pt idx="97">
                  <c:v>111607.18353132796</c:v>
                </c:pt>
                <c:pt idx="98">
                  <c:v>106579.5293367251</c:v>
                </c:pt>
                <c:pt idx="99">
                  <c:v>102487.65257514779</c:v>
                </c:pt>
                <c:pt idx="100">
                  <c:v>104813.35520560961</c:v>
                </c:pt>
              </c:numCache>
            </c:numRef>
          </c:val>
          <c:smooth val="0"/>
          <c:extLst>
            <c:ext xmlns:c16="http://schemas.microsoft.com/office/drawing/2014/chart" uri="{C3380CC4-5D6E-409C-BE32-E72D297353CC}">
              <c16:uniqueId val="{00000000-24EB-4765-B58A-974D1E8F3DB2}"/>
            </c:ext>
          </c:extLst>
        </c:ser>
        <c:dLbls>
          <c:showLegendKey val="0"/>
          <c:showVal val="0"/>
          <c:showCatName val="0"/>
          <c:showSerName val="0"/>
          <c:showPercent val="0"/>
          <c:showBubbleSize val="0"/>
        </c:dLbls>
        <c:smooth val="0"/>
        <c:axId val="606978584"/>
        <c:axId val="606974360"/>
      </c:lineChart>
      <c:catAx>
        <c:axId val="606978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06974360"/>
        <c:crosses val="autoZero"/>
        <c:auto val="1"/>
        <c:lblAlgn val="ctr"/>
        <c:lblOffset val="100"/>
        <c:noMultiLvlLbl val="0"/>
      </c:catAx>
      <c:valAx>
        <c:axId val="606974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r>
                  <a:rPr lang="en-US"/>
                  <a:t>Income</a:t>
                </a:r>
                <a:r>
                  <a:rPr lang="en-US" baseline="0"/>
                  <a:t> Required</a:t>
                </a:r>
                <a:endParaRPr lang="en-US"/>
              </a:p>
            </c:rich>
          </c:tx>
          <c:overlay val="0"/>
          <c:spPr>
            <a:noFill/>
            <a:ln>
              <a:noFill/>
            </a:ln>
            <a:effectLst/>
          </c:spPr>
          <c:txPr>
            <a:bodyPr rot="-54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606978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5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[USDW.xlsx]IncomeRequiredYoY!PivotTable1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95165606752544E-2"/>
          <c:y val="0.16618559866646196"/>
          <c:w val="0.90491333946357788"/>
          <c:h val="0.73780136814374531"/>
        </c:manualLayout>
      </c:layout>
      <c:barChart>
        <c:barDir val="col"/>
        <c:grouping val="clustered"/>
        <c:varyColors val="0"/>
        <c:ser>
          <c:idx val="0"/>
          <c:order val="0"/>
          <c:tx>
            <c:strRef>
              <c:f>IncomeRequiredYoY!$B$3</c:f>
              <c:strCache>
                <c:ptCount val="1"/>
                <c:pt idx="0">
                  <c:v>Total</c:v>
                </c:pt>
              </c:strCache>
            </c:strRef>
          </c:tx>
          <c:spPr>
            <a:solidFill>
              <a:schemeClr val="accent1"/>
            </a:solidFill>
            <a:ln>
              <a:noFill/>
            </a:ln>
            <a:effectLst/>
          </c:spPr>
          <c:invertIfNegative val="0"/>
          <c:cat>
            <c:multiLvlStrRef>
              <c:f>IncomeRequiredYoY!$A$4:$A$115</c:f>
              <c:multiLvlStrCache>
                <c:ptCount val="101"/>
                <c:lvl>
                  <c:pt idx="0">
                    <c:v>&lt;7/1/2016</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Jan</c:v>
                  </c:pt>
                  <c:pt idx="20">
                    <c:v>Feb</c:v>
                  </c:pt>
                  <c:pt idx="21">
                    <c:v>Mar</c:v>
                  </c:pt>
                  <c:pt idx="22">
                    <c:v>Apr</c:v>
                  </c:pt>
                  <c:pt idx="23">
                    <c:v>May</c:v>
                  </c:pt>
                  <c:pt idx="24">
                    <c:v>Jun</c:v>
                  </c:pt>
                  <c:pt idx="25">
                    <c:v>Jul</c:v>
                  </c:pt>
                  <c:pt idx="26">
                    <c:v>Aug</c:v>
                  </c:pt>
                  <c:pt idx="27">
                    <c:v>Sep</c:v>
                  </c:pt>
                  <c:pt idx="28">
                    <c:v>Oct</c:v>
                  </c:pt>
                  <c:pt idx="29">
                    <c:v>Nov</c:v>
                  </c:pt>
                  <c:pt idx="30">
                    <c:v>Dec</c:v>
                  </c:pt>
                  <c:pt idx="31">
                    <c:v>Jan</c:v>
                  </c:pt>
                  <c:pt idx="32">
                    <c:v>Feb</c:v>
                  </c:pt>
                  <c:pt idx="33">
                    <c:v>Mar</c:v>
                  </c:pt>
                  <c:pt idx="34">
                    <c:v>Apr</c:v>
                  </c:pt>
                  <c:pt idx="35">
                    <c:v>May</c:v>
                  </c:pt>
                  <c:pt idx="36">
                    <c:v>Jun</c:v>
                  </c:pt>
                  <c:pt idx="37">
                    <c:v>Jul</c:v>
                  </c:pt>
                  <c:pt idx="38">
                    <c:v>Aug</c:v>
                  </c:pt>
                  <c:pt idx="39">
                    <c:v>Sep</c:v>
                  </c:pt>
                  <c:pt idx="40">
                    <c:v>Oct</c:v>
                  </c:pt>
                  <c:pt idx="41">
                    <c:v>Nov</c:v>
                  </c:pt>
                  <c:pt idx="42">
                    <c:v>Dec</c:v>
                  </c:pt>
                  <c:pt idx="43">
                    <c:v>Jan</c:v>
                  </c:pt>
                  <c:pt idx="44">
                    <c:v>Feb</c:v>
                  </c:pt>
                  <c:pt idx="45">
                    <c:v>Mar</c:v>
                  </c:pt>
                  <c:pt idx="46">
                    <c:v>Apr</c:v>
                  </c:pt>
                  <c:pt idx="47">
                    <c:v>May</c:v>
                  </c:pt>
                  <c:pt idx="48">
                    <c:v>Jun</c:v>
                  </c:pt>
                  <c:pt idx="49">
                    <c:v>Jul</c:v>
                  </c:pt>
                  <c:pt idx="50">
                    <c:v>Aug</c:v>
                  </c:pt>
                  <c:pt idx="51">
                    <c:v>Sep</c:v>
                  </c:pt>
                  <c:pt idx="52">
                    <c:v>Oct</c:v>
                  </c:pt>
                  <c:pt idx="53">
                    <c:v>Nov</c:v>
                  </c:pt>
                  <c:pt idx="54">
                    <c:v>Dec</c:v>
                  </c:pt>
                  <c:pt idx="55">
                    <c:v>Jan</c:v>
                  </c:pt>
                  <c:pt idx="56">
                    <c:v>Feb</c:v>
                  </c:pt>
                  <c:pt idx="57">
                    <c:v>Mar</c:v>
                  </c:pt>
                  <c:pt idx="58">
                    <c:v>Apr</c:v>
                  </c:pt>
                  <c:pt idx="59">
                    <c:v>May</c:v>
                  </c:pt>
                  <c:pt idx="60">
                    <c:v>Jun</c:v>
                  </c:pt>
                  <c:pt idx="61">
                    <c:v>Jul</c:v>
                  </c:pt>
                  <c:pt idx="62">
                    <c:v>Aug</c:v>
                  </c:pt>
                  <c:pt idx="63">
                    <c:v>Sep</c:v>
                  </c:pt>
                  <c:pt idx="64">
                    <c:v>Oct</c:v>
                  </c:pt>
                  <c:pt idx="65">
                    <c:v>Nov</c:v>
                  </c:pt>
                  <c:pt idx="66">
                    <c:v>Dec</c:v>
                  </c:pt>
                  <c:pt idx="67">
                    <c:v>Jan</c:v>
                  </c:pt>
                  <c:pt idx="68">
                    <c:v>Feb</c:v>
                  </c:pt>
                  <c:pt idx="69">
                    <c:v>Mar</c:v>
                  </c:pt>
                  <c:pt idx="70">
                    <c:v>Apr</c:v>
                  </c:pt>
                  <c:pt idx="71">
                    <c:v>May</c:v>
                  </c:pt>
                  <c:pt idx="72">
                    <c:v>Jun</c:v>
                  </c:pt>
                  <c:pt idx="73">
                    <c:v>Jul</c:v>
                  </c:pt>
                  <c:pt idx="74">
                    <c:v>Aug</c:v>
                  </c:pt>
                  <c:pt idx="75">
                    <c:v>Sep</c:v>
                  </c:pt>
                  <c:pt idx="76">
                    <c:v>Oct</c:v>
                  </c:pt>
                  <c:pt idx="77">
                    <c:v>Nov</c:v>
                  </c:pt>
                  <c:pt idx="78">
                    <c:v>Dec</c:v>
                  </c:pt>
                  <c:pt idx="79">
                    <c:v>Jan</c:v>
                  </c:pt>
                  <c:pt idx="80">
                    <c:v>Feb</c:v>
                  </c:pt>
                  <c:pt idx="81">
                    <c:v>Mar</c:v>
                  </c:pt>
                  <c:pt idx="82">
                    <c:v>Apr</c:v>
                  </c:pt>
                  <c:pt idx="83">
                    <c:v>May</c:v>
                  </c:pt>
                  <c:pt idx="84">
                    <c:v>Jun</c:v>
                  </c:pt>
                  <c:pt idx="85">
                    <c:v>Jul</c:v>
                  </c:pt>
                  <c:pt idx="86">
                    <c:v>Aug</c:v>
                  </c:pt>
                  <c:pt idx="87">
                    <c:v>Sep</c:v>
                  </c:pt>
                  <c:pt idx="88">
                    <c:v>Oct</c:v>
                  </c:pt>
                  <c:pt idx="89">
                    <c:v>Nov</c:v>
                  </c:pt>
                  <c:pt idx="90">
                    <c:v>Dec</c:v>
                  </c:pt>
                  <c:pt idx="91">
                    <c:v>Jan</c:v>
                  </c:pt>
                  <c:pt idx="92">
                    <c:v>Feb</c:v>
                  </c:pt>
                  <c:pt idx="93">
                    <c:v>Mar</c:v>
                  </c:pt>
                  <c:pt idx="94">
                    <c:v>Apr</c:v>
                  </c:pt>
                  <c:pt idx="95">
                    <c:v>May</c:v>
                  </c:pt>
                  <c:pt idx="96">
                    <c:v>Jun</c:v>
                  </c:pt>
                  <c:pt idx="97">
                    <c:v>Jul</c:v>
                  </c:pt>
                  <c:pt idx="98">
                    <c:v>Aug</c:v>
                  </c:pt>
                  <c:pt idx="99">
                    <c:v>Sep</c:v>
                  </c:pt>
                  <c:pt idx="100">
                    <c:v>Oct</c:v>
                  </c:pt>
                </c:lvl>
                <c:lvl>
                  <c:pt idx="0">
                    <c:v>&lt;7/1/2016</c:v>
                  </c:pt>
                  <c:pt idx="1">
                    <c:v>2016</c:v>
                  </c:pt>
                  <c:pt idx="7">
                    <c:v>2017</c:v>
                  </c:pt>
                  <c:pt idx="19">
                    <c:v>2018</c:v>
                  </c:pt>
                  <c:pt idx="31">
                    <c:v>2019</c:v>
                  </c:pt>
                  <c:pt idx="43">
                    <c:v>2020</c:v>
                  </c:pt>
                  <c:pt idx="55">
                    <c:v>2021</c:v>
                  </c:pt>
                  <c:pt idx="67">
                    <c:v>2022</c:v>
                  </c:pt>
                  <c:pt idx="79">
                    <c:v>2023</c:v>
                  </c:pt>
                  <c:pt idx="91">
                    <c:v>2024</c:v>
                  </c:pt>
                </c:lvl>
              </c:multiLvlStrCache>
            </c:multiLvlStrRef>
          </c:cat>
          <c:val>
            <c:numRef>
              <c:f>IncomeRequiredYoY!$B$4:$B$115</c:f>
              <c:numCache>
                <c:formatCode>General</c:formatCode>
                <c:ptCount val="101"/>
                <c:pt idx="1">
                  <c:v>#N/A</c:v>
                </c:pt>
                <c:pt idx="2">
                  <c:v>#N/A</c:v>
                </c:pt>
                <c:pt idx="3">
                  <c:v>#N/A</c:v>
                </c:pt>
                <c:pt idx="4">
                  <c:v>#N/A</c:v>
                </c:pt>
                <c:pt idx="5">
                  <c:v>#N/A</c:v>
                </c:pt>
                <c:pt idx="6">
                  <c:v>#N/A</c:v>
                </c:pt>
                <c:pt idx="7">
                  <c:v>#N/A</c:v>
                </c:pt>
                <c:pt idx="8">
                  <c:v>#N/A</c:v>
                </c:pt>
                <c:pt idx="9">
                  <c:v>#N/A</c:v>
                </c:pt>
                <c:pt idx="10">
                  <c:v>#N/A</c:v>
                </c:pt>
                <c:pt idx="11">
                  <c:v>#N/A</c:v>
                </c:pt>
                <c:pt idx="12">
                  <c:v>#N/A</c:v>
                </c:pt>
                <c:pt idx="13">
                  <c:v>0.12669860668274893</c:v>
                </c:pt>
                <c:pt idx="14">
                  <c:v>0.1173253612796679</c:v>
                </c:pt>
                <c:pt idx="15">
                  <c:v>0.10720499103771967</c:v>
                </c:pt>
                <c:pt idx="16">
                  <c:v>0.11603310958325586</c:v>
                </c:pt>
                <c:pt idx="17">
                  <c:v>9.1291364830584282E-2</c:v>
                </c:pt>
                <c:pt idx="18">
                  <c:v>4.5628532055311297E-2</c:v>
                </c:pt>
                <c:pt idx="19">
                  <c:v>6.014853152139623E-2</c:v>
                </c:pt>
                <c:pt idx="20">
                  <c:v>8.8821714622657477E-2</c:v>
                </c:pt>
                <c:pt idx="21">
                  <c:v>9.7545158352643907E-2</c:v>
                </c:pt>
                <c:pt idx="22">
                  <c:v>0.12929287157483763</c:v>
                </c:pt>
                <c:pt idx="23">
                  <c:v>0.13520980892271345</c:v>
                </c:pt>
                <c:pt idx="24">
                  <c:v>0.14176163499760749</c:v>
                </c:pt>
                <c:pt idx="25">
                  <c:v>0.1284798410420406</c:v>
                </c:pt>
                <c:pt idx="26">
                  <c:v>0.15131902960219001</c:v>
                </c:pt>
                <c:pt idx="27">
                  <c:v>0.16544167132275681</c:v>
                </c:pt>
                <c:pt idx="28">
                  <c:v>0.1704476824318403</c:v>
                </c:pt>
                <c:pt idx="29">
                  <c:v>0.17248493743341914</c:v>
                </c:pt>
                <c:pt idx="30">
                  <c:v>0.14272001029459236</c:v>
                </c:pt>
                <c:pt idx="31">
                  <c:v>0.11259499584962587</c:v>
                </c:pt>
                <c:pt idx="32">
                  <c:v>7.252700388350547E-2</c:v>
                </c:pt>
                <c:pt idx="33">
                  <c:v>4.875330315503125E-2</c:v>
                </c:pt>
                <c:pt idx="34">
                  <c:v>2.9605368737253258E-2</c:v>
                </c:pt>
                <c:pt idx="35">
                  <c:v>1.1130885967427725E-2</c:v>
                </c:pt>
                <c:pt idx="36">
                  <c:v>-1.5396941112440315E-2</c:v>
                </c:pt>
                <c:pt idx="37">
                  <c:v>-1.5203050936080266E-2</c:v>
                </c:pt>
                <c:pt idx="38">
                  <c:v>-3.8622941049887803E-2</c:v>
                </c:pt>
                <c:pt idx="39">
                  <c:v>-5.2452614529208623E-2</c:v>
                </c:pt>
                <c:pt idx="40">
                  <c:v>-6.3298957742740483E-2</c:v>
                </c:pt>
                <c:pt idx="41">
                  <c:v>-7.7418369864065584E-2</c:v>
                </c:pt>
                <c:pt idx="42">
                  <c:v>-5.3769142781269645E-2</c:v>
                </c:pt>
                <c:pt idx="43">
                  <c:v>-4.6878057146708722E-2</c:v>
                </c:pt>
                <c:pt idx="44">
                  <c:v>-5.5007168167307656E-2</c:v>
                </c:pt>
                <c:pt idx="45">
                  <c:v>-3.8929480413454662E-2</c:v>
                </c:pt>
                <c:pt idx="46">
                  <c:v>-6.3824913513687478E-2</c:v>
                </c:pt>
                <c:pt idx="47">
                  <c:v>-5.361400550711936E-2</c:v>
                </c:pt>
                <c:pt idx="48">
                  <c:v>-9.9079222723222216E-3</c:v>
                </c:pt>
                <c:pt idx="49">
                  <c:v>-6.7166926902132544E-3</c:v>
                </c:pt>
                <c:pt idx="50">
                  <c:v>1.889938023383993E-2</c:v>
                </c:pt>
                <c:pt idx="51">
                  <c:v>2.4039494488577343E-2</c:v>
                </c:pt>
                <c:pt idx="52">
                  <c:v>1.6291752670266443E-2</c:v>
                </c:pt>
                <c:pt idx="53">
                  <c:v>4.9151421429221671E-3</c:v>
                </c:pt>
                <c:pt idx="54">
                  <c:v>-6.0281087086036201E-3</c:v>
                </c:pt>
                <c:pt idx="55">
                  <c:v>1.0066426839589134E-2</c:v>
                </c:pt>
                <c:pt idx="56">
                  <c:v>3.7826611217168342E-2</c:v>
                </c:pt>
                <c:pt idx="57">
                  <c:v>5.407371711461418E-2</c:v>
                </c:pt>
                <c:pt idx="58">
                  <c:v>0.10821698808995688</c:v>
                </c:pt>
                <c:pt idx="59">
                  <c:v>9.5304445497682813E-2</c:v>
                </c:pt>
                <c:pt idx="60">
                  <c:v>8.5001354231316675E-2</c:v>
                </c:pt>
                <c:pt idx="61">
                  <c:v>7.286272534772946E-2</c:v>
                </c:pt>
                <c:pt idx="62">
                  <c:v>5.9729518375762534E-2</c:v>
                </c:pt>
                <c:pt idx="63">
                  <c:v>7.1214779556609889E-2</c:v>
                </c:pt>
                <c:pt idx="64">
                  <c:v>9.6656019038798294E-2</c:v>
                </c:pt>
                <c:pt idx="65">
                  <c:v>0.12081279442744931</c:v>
                </c:pt>
                <c:pt idx="66">
                  <c:v>0.13706819754143842</c:v>
                </c:pt>
                <c:pt idx="67">
                  <c:v>0.18139667770251344</c:v>
                </c:pt>
                <c:pt idx="68">
                  <c:v>0.22497970248468591</c:v>
                </c:pt>
                <c:pt idx="69">
                  <c:v>0.25482268931901225</c:v>
                </c:pt>
                <c:pt idx="70">
                  <c:v>0.36727608672645368</c:v>
                </c:pt>
                <c:pt idx="71">
                  <c:v>0.44473697231528225</c:v>
                </c:pt>
                <c:pt idx="72">
                  <c:v>0.50691726481469845</c:v>
                </c:pt>
                <c:pt idx="73">
                  <c:v>0.49596145476187725</c:v>
                </c:pt>
                <c:pt idx="74">
                  <c:v>0.45256309376880849</c:v>
                </c:pt>
                <c:pt idx="75">
                  <c:v>0.55604688164324279</c:v>
                </c:pt>
                <c:pt idx="76">
                  <c:v>0.63383128839617908</c:v>
                </c:pt>
                <c:pt idx="77">
                  <c:v>0.59272283161223704</c:v>
                </c:pt>
                <c:pt idx="78">
                  <c:v>0.50649955710700945</c:v>
                </c:pt>
                <c:pt idx="79">
                  <c:v>0.42780931848159903</c:v>
                </c:pt>
                <c:pt idx="80">
                  <c:v>0.36786832704085742</c:v>
                </c:pt>
                <c:pt idx="81">
                  <c:v>0.33134675175986528</c:v>
                </c:pt>
                <c:pt idx="82">
                  <c:v>0.17136111340317697</c:v>
                </c:pt>
                <c:pt idx="83">
                  <c:v>0.1360113180016852</c:v>
                </c:pt>
                <c:pt idx="84">
                  <c:v>0.11711597655953414</c:v>
                </c:pt>
                <c:pt idx="85">
                  <c:v>0.14188429399251809</c:v>
                </c:pt>
                <c:pt idx="86">
                  <c:v>0.20334950429816598</c:v>
                </c:pt>
                <c:pt idx="87">
                  <c:v>0.11550412253506577</c:v>
                </c:pt>
                <c:pt idx="88">
                  <c:v>7.265789354462307E-2</c:v>
                </c:pt>
                <c:pt idx="89">
                  <c:v>7.4361889293012989E-2</c:v>
                </c:pt>
                <c:pt idx="90">
                  <c:v>6.078346572505286E-2</c:v>
                </c:pt>
                <c:pt idx="91">
                  <c:v>5.475236503653523E-2</c:v>
                </c:pt>
                <c:pt idx="92">
                  <c:v>5.8191529045552581E-2</c:v>
                </c:pt>
                <c:pt idx="93">
                  <c:v>3.4405793111842428E-2</c:v>
                </c:pt>
                <c:pt idx="94">
                  <c:v>6.7655248955402203E-2</c:v>
                </c:pt>
                <c:pt idx="95">
                  <c:v>6.9131145445166853E-2</c:v>
                </c:pt>
                <c:pt idx="96">
                  <c:v>2.5416606299367674E-2</c:v>
                </c:pt>
                <c:pt idx="97">
                  <c:v>2.5172877490252299E-3</c:v>
                </c:pt>
                <c:pt idx="98">
                  <c:v>-5.3696614543279543E-2</c:v>
                </c:pt>
                <c:pt idx="99">
                  <c:v>-8.9188434468646202E-2</c:v>
                </c:pt>
                <c:pt idx="100">
                  <c:v>-9.3517867780180092E-2</c:v>
                </c:pt>
              </c:numCache>
            </c:numRef>
          </c:val>
          <c:extLst>
            <c:ext xmlns:c16="http://schemas.microsoft.com/office/drawing/2014/chart" uri="{C3380CC4-5D6E-409C-BE32-E72D297353CC}">
              <c16:uniqueId val="{00000000-A398-4A61-B7DD-3439C21F07B1}"/>
            </c:ext>
          </c:extLst>
        </c:ser>
        <c:dLbls>
          <c:showLegendKey val="0"/>
          <c:showVal val="0"/>
          <c:showCatName val="0"/>
          <c:showSerName val="0"/>
          <c:showPercent val="0"/>
          <c:showBubbleSize val="0"/>
        </c:dLbls>
        <c:gapWidth val="60"/>
        <c:axId val="606978584"/>
        <c:axId val="606974360"/>
      </c:barChart>
      <c:catAx>
        <c:axId val="6069785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800" b="0" i="0" u="none" strike="noStrike" kern="1200" baseline="0">
                <a:solidFill>
                  <a:schemeClr val="tx1">
                    <a:lumMod val="65000"/>
                    <a:lumOff val="35000"/>
                  </a:schemeClr>
                </a:solidFill>
                <a:latin typeface="+mn-lt"/>
                <a:ea typeface="+mn-ea"/>
                <a:cs typeface="+mn-cs"/>
              </a:defRPr>
            </a:pPr>
            <a:endParaRPr lang="en-US"/>
          </a:p>
        </c:txPr>
        <c:crossAx val="606974360"/>
        <c:crosses val="autoZero"/>
        <c:auto val="1"/>
        <c:lblAlgn val="ctr"/>
        <c:lblOffset val="100"/>
        <c:noMultiLvlLbl val="0"/>
      </c:catAx>
      <c:valAx>
        <c:axId val="606974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r>
                  <a:rPr lang="en-US"/>
                  <a:t>IncomeRequiredYoY</a:t>
                </a:r>
              </a:p>
            </c:rich>
          </c:tx>
          <c:overlay val="0"/>
          <c:spPr>
            <a:noFill/>
            <a:ln>
              <a:noFill/>
            </a:ln>
            <a:effectLst/>
          </c:spPr>
          <c:txPr>
            <a:bodyPr rot="-54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606978584"/>
        <c:crosses val="autoZero"/>
        <c:crossBetween val="between"/>
      </c:valAx>
      <c:spPr>
        <a:noFill/>
        <a:ln w="19050">
          <a:solidFill>
            <a:schemeClr val="tx1">
              <a:lumMod val="15000"/>
              <a:lumOff val="8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5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205740</xdr:colOff>
      <xdr:row>4</xdr:row>
      <xdr:rowOff>26670</xdr:rowOff>
    </xdr:from>
    <xdr:to>
      <xdr:col>11</xdr:col>
      <xdr:colOff>320040</xdr:colOff>
      <xdr:row>24</xdr:row>
      <xdr:rowOff>83820</xdr:rowOff>
    </xdr:to>
    <xdr:graphicFrame macro="">
      <xdr:nvGraphicFramePr>
        <xdr:cNvPr id="2" name="Chart 1">
          <a:extLst>
            <a:ext uri="{FF2B5EF4-FFF2-40B4-BE49-F238E27FC236}">
              <a16:creationId xmlns:a16="http://schemas.microsoft.com/office/drawing/2014/main" id="{D29A9648-D304-0FE3-C853-02F402D6B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251460</xdr:colOff>
      <xdr:row>3</xdr:row>
      <xdr:rowOff>163830</xdr:rowOff>
    </xdr:from>
    <xdr:to>
      <xdr:col>11</xdr:col>
      <xdr:colOff>358140</xdr:colOff>
      <xdr:row>26</xdr:row>
      <xdr:rowOff>60960</xdr:rowOff>
    </xdr:to>
    <xdr:graphicFrame macro="">
      <xdr:nvGraphicFramePr>
        <xdr:cNvPr id="2" name="Chart 1">
          <a:extLst>
            <a:ext uri="{FF2B5EF4-FFF2-40B4-BE49-F238E27FC236}">
              <a16:creationId xmlns:a16="http://schemas.microsoft.com/office/drawing/2014/main" id="{22FA345A-DB61-43DC-AB58-B0994D1AD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xdr:rowOff>
    </xdr:from>
    <xdr:to>
      <xdr:col>15</xdr:col>
      <xdr:colOff>38100</xdr:colOff>
      <xdr:row>20</xdr:row>
      <xdr:rowOff>113271</xdr:rowOff>
    </xdr:to>
    <xdr:graphicFrame macro="">
      <xdr:nvGraphicFramePr>
        <xdr:cNvPr id="2" name="Chart 1">
          <a:extLst>
            <a:ext uri="{FF2B5EF4-FFF2-40B4-BE49-F238E27FC236}">
              <a16:creationId xmlns:a16="http://schemas.microsoft.com/office/drawing/2014/main" id="{30701824-3770-42F8-8203-0BEFEC887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23</xdr:row>
      <xdr:rowOff>0</xdr:rowOff>
    </xdr:from>
    <xdr:to>
      <xdr:col>15</xdr:col>
      <xdr:colOff>59313</xdr:colOff>
      <xdr:row>45</xdr:row>
      <xdr:rowOff>25640</xdr:rowOff>
    </xdr:to>
    <xdr:graphicFrame macro="">
      <xdr:nvGraphicFramePr>
        <xdr:cNvPr id="3" name="Chart 2">
          <a:extLst>
            <a:ext uri="{FF2B5EF4-FFF2-40B4-BE49-F238E27FC236}">
              <a16:creationId xmlns:a16="http://schemas.microsoft.com/office/drawing/2014/main" id="{F966BA34-32A7-431B-A01C-CAB469B41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524957</xdr:colOff>
      <xdr:row>2</xdr:row>
      <xdr:rowOff>40571</xdr:rowOff>
    </xdr:from>
    <xdr:to>
      <xdr:col>18</xdr:col>
      <xdr:colOff>531135</xdr:colOff>
      <xdr:row>16</xdr:row>
      <xdr:rowOff>26927</xdr:rowOff>
    </xdr:to>
    <mc:AlternateContent xmlns:mc="http://schemas.openxmlformats.org/markup-compatibility/2006">
      <mc:Choice xmlns:a14="http://schemas.microsoft.com/office/drawing/2010/main" Requires="a14">
        <xdr:graphicFrame macro="">
          <xdr:nvGraphicFramePr>
            <xdr:cNvPr id="4" name="Months (StartOfMonth)">
              <a:extLst>
                <a:ext uri="{FF2B5EF4-FFF2-40B4-BE49-F238E27FC236}">
                  <a16:creationId xmlns:a16="http://schemas.microsoft.com/office/drawing/2014/main" id="{D5668612-D917-CD05-BF7D-9F9BB12A1595}"/>
                </a:ext>
              </a:extLst>
            </xdr:cNvPr>
            <xdr:cNvGraphicFramePr/>
          </xdr:nvGraphicFramePr>
          <xdr:xfrm>
            <a:off x="0" y="0"/>
            <a:ext cx="0" cy="0"/>
          </xdr:xfrm>
          <a:graphic>
            <a:graphicData uri="http://schemas.microsoft.com/office/drawing/2010/slicer">
              <sle:slicer xmlns:sle="http://schemas.microsoft.com/office/drawing/2010/slicer" name="Months (StartOfMonth)"/>
            </a:graphicData>
          </a:graphic>
        </xdr:graphicFrame>
      </mc:Choice>
      <mc:Fallback>
        <xdr:sp macro="" textlink="">
          <xdr:nvSpPr>
            <xdr:cNvPr id="0" name=""/>
            <xdr:cNvSpPr>
              <a:spLocks noTextEdit="1"/>
            </xdr:cNvSpPr>
          </xdr:nvSpPr>
          <xdr:spPr>
            <a:xfrm>
              <a:off x="9638065" y="41127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500449</xdr:colOff>
      <xdr:row>16</xdr:row>
      <xdr:rowOff>77847</xdr:rowOff>
    </xdr:from>
    <xdr:to>
      <xdr:col>18</xdr:col>
      <xdr:colOff>506627</xdr:colOff>
      <xdr:row>30</xdr:row>
      <xdr:rowOff>64203</xdr:rowOff>
    </xdr:to>
    <mc:AlternateContent xmlns:mc="http://schemas.openxmlformats.org/markup-compatibility/2006">
      <mc:Choice xmlns:a14="http://schemas.microsoft.com/office/drawing/2010/main" Requires="a14">
        <xdr:graphicFrame macro="">
          <xdr:nvGraphicFramePr>
            <xdr:cNvPr id="5" name="Years (StartOfMonth)">
              <a:extLst>
                <a:ext uri="{FF2B5EF4-FFF2-40B4-BE49-F238E27FC236}">
                  <a16:creationId xmlns:a16="http://schemas.microsoft.com/office/drawing/2014/main" id="{AD3873FE-5A5E-94C6-DF83-B92F8BD252F0}"/>
                </a:ext>
              </a:extLst>
            </xdr:cNvPr>
            <xdr:cNvGraphicFramePr/>
          </xdr:nvGraphicFramePr>
          <xdr:xfrm>
            <a:off x="0" y="0"/>
            <a:ext cx="0" cy="0"/>
          </xdr:xfrm>
          <a:graphic>
            <a:graphicData uri="http://schemas.microsoft.com/office/drawing/2010/slicer">
              <sle:slicer xmlns:sle="http://schemas.microsoft.com/office/drawing/2010/slicer" name="Years (StartOfMonth)"/>
            </a:graphicData>
          </a:graphic>
        </xdr:graphicFrame>
      </mc:Choice>
      <mc:Fallback>
        <xdr:sp macro="" textlink="">
          <xdr:nvSpPr>
            <xdr:cNvPr id="0" name=""/>
            <xdr:cNvSpPr>
              <a:spLocks noTextEdit="1"/>
            </xdr:cNvSpPr>
          </xdr:nvSpPr>
          <xdr:spPr>
            <a:xfrm>
              <a:off x="9613557" y="3043469"/>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Lee" refreshedDate="45631.46856400463" createdVersion="8" refreshedVersion="8" minRefreshableVersion="3" recordCount="101" xr:uid="{01146BB3-104D-4F2D-8E97-DAD2A4E1CD9D}">
  <cacheSource type="worksheet">
    <worksheetSource ref="A1:H1048576" sheet="USDW"/>
  </cacheSource>
  <cacheFields count="10">
    <cacheField name="StartOfMonth" numFmtId="0">
      <sharedItems containsNonDate="0" containsDate="1" containsString="0" containsBlank="1" minDate="2016-07-01T00:00:00" maxDate="2024-10-02T00:00:00" count="101">
        <d v="2024-10-01T00:00:00"/>
        <d v="2024-09-01T00:00:00"/>
        <d v="2024-08-01T00:00:00"/>
        <d v="2024-07-01T00:00:00"/>
        <d v="2024-06-01T00:00:00"/>
        <d v="2024-05-01T00:00:00"/>
        <d v="2024-04-01T00:00:00"/>
        <d v="2024-03-01T00:00:00"/>
        <d v="2024-02-01T00:00:00"/>
        <d v="2024-01-01T00:00:00"/>
        <d v="2023-12-01T00:00:00"/>
        <d v="2023-11-01T00:00:00"/>
        <d v="2023-10-01T00:00:00"/>
        <d v="2023-09-01T00:00:00"/>
        <d v="2023-08-01T00:00:00"/>
        <d v="2023-07-01T00:00:00"/>
        <d v="2023-06-01T00:00:00"/>
        <d v="2023-05-01T00:00:00"/>
        <d v="2023-04-01T00:00:00"/>
        <d v="2023-03-01T00:00:00"/>
        <d v="2023-02-01T00:00:00"/>
        <d v="2023-01-01T00:00:00"/>
        <d v="2022-12-01T00:00:00"/>
        <d v="2022-11-01T00:00:00"/>
        <d v="2022-10-01T00:00:00"/>
        <d v="2022-09-01T00:00:00"/>
        <d v="2022-08-01T00:00:00"/>
        <d v="2022-07-01T00:00:00"/>
        <d v="2022-06-01T00:00:00"/>
        <d v="2022-05-01T00:00:00"/>
        <d v="2022-04-01T00:00:00"/>
        <d v="2022-03-01T00:00:00"/>
        <d v="2022-02-01T00:00:00"/>
        <d v="2022-01-01T00:00:00"/>
        <d v="2021-12-01T00:00:00"/>
        <d v="2021-11-01T00:00:00"/>
        <d v="2021-10-01T00:00:00"/>
        <d v="2021-09-01T00:00:00"/>
        <d v="2021-08-01T00:00:00"/>
        <d v="2021-07-01T00:00:00"/>
        <d v="2021-06-01T00:00:00"/>
        <d v="2021-05-01T00:00:00"/>
        <d v="2021-04-01T00:00:00"/>
        <d v="2021-03-01T00:00:00"/>
        <d v="2021-02-01T00:00:00"/>
        <d v="2021-01-01T00:00:00"/>
        <d v="2020-12-01T00:00:00"/>
        <d v="2020-11-01T00:00:00"/>
        <d v="2020-10-01T00:00:00"/>
        <d v="2020-09-01T00:00:00"/>
        <d v="2020-08-01T00:00:00"/>
        <d v="2020-07-01T00:00:00"/>
        <d v="2020-06-01T00:00:00"/>
        <d v="2020-05-01T00:00:00"/>
        <d v="2020-04-01T00:00:00"/>
        <d v="2020-03-01T00:00:00"/>
        <d v="2020-02-01T00:00:00"/>
        <d v="2020-01-01T00:00:00"/>
        <d v="2019-12-01T00:00:00"/>
        <d v="2019-11-01T00:00:00"/>
        <d v="2019-10-01T00:00:00"/>
        <d v="2019-09-01T00:00:00"/>
        <d v="2019-08-01T00:00:00"/>
        <d v="2019-07-01T00:00:00"/>
        <d v="2019-06-01T00:00:00"/>
        <d v="2019-05-01T00:00:00"/>
        <d v="2019-04-01T00:00:00"/>
        <d v="2019-03-01T00:00:00"/>
        <d v="2019-02-01T00:00:00"/>
        <d v="2019-01-01T00:00:00"/>
        <d v="2018-12-01T00:00:00"/>
        <d v="2018-11-01T00:00:00"/>
        <d v="2018-10-01T00:00:00"/>
        <d v="2018-09-01T00:00:00"/>
        <d v="2018-08-01T00:00:00"/>
        <d v="2018-07-01T00:00:00"/>
        <d v="2018-06-01T00:00:00"/>
        <d v="2018-05-01T00:00:00"/>
        <d v="2018-04-01T00:00:00"/>
        <d v="2018-03-01T00:00:00"/>
        <d v="2018-02-01T00:00:00"/>
        <d v="2018-01-01T00:00:00"/>
        <d v="2017-12-01T00:00:00"/>
        <d v="2017-11-01T00:00:00"/>
        <d v="2017-10-01T00:00:00"/>
        <d v="2017-09-01T00:00:00"/>
        <d v="2017-08-01T00:00:00"/>
        <d v="2017-07-01T00:00:00"/>
        <d v="2017-06-01T00:00:00"/>
        <d v="2017-05-01T00:00:00"/>
        <d v="2017-04-01T00:00:00"/>
        <d v="2017-03-01T00:00:00"/>
        <d v="2017-02-01T00:00:00"/>
        <d v="2017-01-01T00:00:00"/>
        <d v="2016-12-01T00:00:00"/>
        <d v="2016-11-01T00:00:00"/>
        <d v="2016-10-01T00:00:00"/>
        <d v="2016-09-01T00:00:00"/>
        <d v="2016-08-01T00:00:00"/>
        <d v="2016-07-01T00:00:00"/>
        <m/>
      </sharedItems>
      <fieldGroup par="9"/>
    </cacheField>
    <cacheField name="Rate" numFmtId="0">
      <sharedItems containsString="0" containsBlank="1" containsNumber="1" minValue="2.6839999999999999E-2" maxValue="7.6200000000000004E-2"/>
    </cacheField>
    <cacheField name="HomeValue" numFmtId="0">
      <sharedItems containsString="0" containsBlank="1" containsNumber="1" containsInteger="1" minValue="249900" maxValue="449000"/>
    </cacheField>
    <cacheField name="PropertyTax" numFmtId="0">
      <sharedItems containsString="0" containsBlank="1" containsNumber="1" containsInteger="1" minValue="2197" maxValue="3227"/>
    </cacheField>
    <cacheField name="Insurance" numFmtId="0">
      <sharedItems containsString="0" containsBlank="1" containsNumber="1" containsInteger="1" minValue="681" maxValue="1025"/>
    </cacheField>
    <cacheField name="Income" numFmtId="0">
      <sharedItems containsString="0" containsBlank="1" containsNumber="1" containsInteger="1" minValue="59040" maxValue="86640"/>
    </cacheField>
    <cacheField name="IncomeRequired" numFmtId="0">
      <sharedItems containsString="0" containsBlank="1" containsNumber="1" minValue="48252.652452875765" maxValue="115626.49883560264" count="101">
        <n v="104813.35520560961"/>
        <n v="102487.65257514779"/>
        <n v="106579.5293367251"/>
        <n v="111607.18353132796"/>
        <n v="113996.6970918689"/>
        <n v="114863.69750922277"/>
        <n v="111355.6271250025"/>
        <n v="108546.89899879831"/>
        <n v="106045.07332907396"/>
        <n v="103484.99445628484"/>
        <n v="104417.69892679692"/>
        <n v="112681.30714445403"/>
        <n v="115626.49883560264"/>
        <n v="112523.44222853388"/>
        <n v="112627.23030974463"/>
        <n v="111326.94158513924"/>
        <n v="111171.10488708808"/>
        <n v="107436.48989983881"/>
        <n v="104299.23632553978"/>
        <n v="104936.47630515731"/>
        <n v="100213.49672371926"/>
        <n v="98113.071737649298"/>
        <n v="98434.508361635046"/>
        <n v="104882.07769414112"/>
        <n v="107794.38582557965"/>
        <n v="100872.27824207052"/>
        <n v="93594.778497401407"/>
        <n v="97494.065003637472"/>
        <n v="99516.171301631606"/>
        <n v="94573.432673915871"/>
        <n v="89041.060977786168"/>
        <n v="78819.793691196595"/>
        <n v="73262.531738353457"/>
        <n v="68715.808524059394"/>
        <n v="65339.885363566063"/>
        <n v="65850.803173314227"/>
        <n v="65976.448481038737"/>
        <n v="64825.989134431271"/>
        <n v="64434.225885886408"/>
        <n v="65171.508726577646"/>
        <n v="66039.572062284948"/>
        <n v="65460.657881798354"/>
        <n v="65122.956396443078"/>
        <n v="62813.490991282451"/>
        <n v="59807.139326269244"/>
        <n v="58164.890608709386"/>
        <n v="57463.470972843621"/>
        <n v="58752.722578397348"/>
        <n v="60161.479384270424"/>
        <n v="60516.331898691329"/>
        <n v="60802.520613603498"/>
        <n v="60745.431066639649"/>
        <n v="60865.889065245952"/>
        <n v="59764.806169534386"/>
        <n v="58763.723256656012"/>
        <n v="59591.1746696673"/>
        <n v="57627.294077694853"/>
        <n v="57585.213272262023"/>
        <n v="57811.967799396676"/>
        <n v="58465.357038118302"/>
        <n v="59197.055595697311"/>
        <n v="59095.701117381424"/>
        <n v="59674.705660974265"/>
        <n v="61156.198457782266"/>
        <n v="61474.978372654907"/>
        <n v="63150.560677474161"/>
        <n v="62770.013969513144"/>
        <n v="62004.996985344587"/>
        <n v="60981.726142762491"/>
        <n v="60417.466730304615"/>
        <n v="61097.106861769658"/>
        <n v="63371.473188235861"/>
        <n v="63197.384144085518"/>
        <n v="62367.014065496653"/>
        <n v="62072.113231142648"/>
        <n v="62100.312674519497"/>
        <n v="62436.306507224923"/>
        <n v="62455.37699805609"/>
        <n v="60965.119137341571"/>
        <n v="59122.576108996283"/>
        <n v="56857.986719172746"/>
        <n v="54303.198338733506"/>
        <n v="53466.383988514273"/>
        <n v="54048.85910684416"/>
        <n v="53994.198196693636"/>
        <n v="53513.629725210645"/>
        <n v="53913.912334611668"/>
        <n v="55030.059391380833"/>
        <n v="54684.186780681026"/>
        <n v="55016.593855302155"/>
        <n v="53985.215590995118"/>
        <n v="53868.012317357476"/>
        <n v="52219.739885402152"/>
        <n v="51222.254923849359"/>
        <n v="51133.248901901643"/>
        <n v="49527.432222681324"/>
        <n v="48380.462670015149"/>
        <n v="48332.178917524019"/>
        <n v="48252.652452875765"/>
        <n v="48841.863356342968"/>
        <m/>
      </sharedItems>
    </cacheField>
    <cacheField name="IncomeRequiredYoY" numFmtId="0">
      <sharedItems containsBlank="1" containsMixedTypes="1" containsNumber="1" minValue="-9.3517867780180092E-2" maxValue="0.63383128839617908"/>
    </cacheField>
    <cacheField name="Months (StartOfMonth)" numFmtId="0" databaseField="0">
      <fieldGroup base="0">
        <rangePr groupBy="months" startDate="2016-07-01T00:00:00" endDate="2024-10-02T00:00:00"/>
        <groupItems count="14">
          <s v="&lt;7/1/2016"/>
          <s v="Jan"/>
          <s v="Feb"/>
          <s v="Mar"/>
          <s v="Apr"/>
          <s v="May"/>
          <s v="Jun"/>
          <s v="Jul"/>
          <s v="Aug"/>
          <s v="Sep"/>
          <s v="Oct"/>
          <s v="Nov"/>
          <s v="Dec"/>
          <s v="&gt;10/2/2024"/>
        </groupItems>
      </fieldGroup>
    </cacheField>
    <cacheField name="Years (StartOfMonth)" numFmtId="0" databaseField="0">
      <fieldGroup base="0">
        <rangePr groupBy="years" startDate="2016-07-01T00:00:00" endDate="2024-10-02T00:00:00"/>
        <groupItems count="11">
          <s v="&lt;7/1/2016"/>
          <s v="2016"/>
          <s v="2017"/>
          <s v="2018"/>
          <s v="2019"/>
          <s v="2020"/>
          <s v="2021"/>
          <s v="2022"/>
          <s v="2023"/>
          <s v="2024"/>
          <s v="&gt;10/2/2024"/>
        </groupItems>
      </fieldGroup>
    </cacheField>
  </cacheFields>
  <extLst>
    <ext xmlns:x14="http://schemas.microsoft.com/office/spreadsheetml/2009/9/main" uri="{725AE2AE-9491-48be-B2B4-4EB974FC3084}">
      <x14:pivotCacheDefinition pivotCacheId="838207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n v="6.4280000000000004E-2"/>
    <n v="424950"/>
    <n v="3227"/>
    <n v="1025"/>
    <n v="86640"/>
    <x v="0"/>
    <n v="-9.3517867780180092E-2"/>
  </r>
  <r>
    <x v="1"/>
    <n v="6.1800000000000001E-2"/>
    <n v="425000"/>
    <n v="3227"/>
    <n v="1025"/>
    <n v="86640"/>
    <x v="1"/>
    <n v="-8.9188434468646202E-2"/>
  </r>
  <r>
    <x v="2"/>
    <n v="6.5000000000000002E-2"/>
    <n v="429990"/>
    <n v="3227"/>
    <n v="1025"/>
    <n v="86640"/>
    <x v="2"/>
    <n v="-5.3696614543279543E-2"/>
  </r>
  <r>
    <x v="3"/>
    <n v="6.8474999999999994E-2"/>
    <n v="437450"/>
    <n v="3227"/>
    <n v="1025"/>
    <n v="86640"/>
    <x v="3"/>
    <n v="2.5172877490252299E-3"/>
  </r>
  <r>
    <x v="4"/>
    <n v="6.9175E-2"/>
    <n v="445000"/>
    <n v="3227"/>
    <n v="1025"/>
    <n v="86640"/>
    <x v="4"/>
    <n v="2.5416606299367674E-2"/>
  </r>
  <r>
    <x v="5"/>
    <n v="7.0599999999999996E-2"/>
    <n v="442450"/>
    <n v="3227"/>
    <n v="1025"/>
    <n v="86640"/>
    <x v="5"/>
    <n v="6.9131145445166853E-2"/>
  </r>
  <r>
    <x v="6"/>
    <n v="6.9925000000000001E-2"/>
    <n v="429950"/>
    <n v="3227"/>
    <n v="1025"/>
    <n v="86640"/>
    <x v="6"/>
    <n v="6.7655248955402203E-2"/>
  </r>
  <r>
    <x v="7"/>
    <n v="6.8199999999999997E-2"/>
    <n v="424900"/>
    <n v="3227"/>
    <n v="1025"/>
    <n v="86640"/>
    <x v="7"/>
    <n v="3.4405793111842428E-2"/>
  </r>
  <r>
    <x v="8"/>
    <n v="6.7760000000000001E-2"/>
    <n v="415500"/>
    <n v="3227"/>
    <n v="1025"/>
    <n v="86640"/>
    <x v="8"/>
    <n v="5.8191529045552581E-2"/>
  </r>
  <r>
    <x v="9"/>
    <n v="6.6424999999999998E-2"/>
    <n v="409500"/>
    <n v="3227"/>
    <n v="1025"/>
    <n v="86640"/>
    <x v="9"/>
    <n v="5.475236503653523E-2"/>
  </r>
  <r>
    <x v="10"/>
    <n v="6.8150000000000002E-2"/>
    <n v="410000"/>
    <n v="3048"/>
    <n v="972"/>
    <n v="80610"/>
    <x v="10"/>
    <n v="6.078346572505286E-2"/>
  </r>
  <r>
    <x v="11"/>
    <n v="7.442E-2"/>
    <n v="420000"/>
    <n v="3048"/>
    <n v="972"/>
    <n v="80610"/>
    <x v="11"/>
    <n v="7.4361889293012989E-2"/>
  </r>
  <r>
    <x v="12"/>
    <n v="7.6200000000000004E-2"/>
    <n v="425000"/>
    <n v="3048"/>
    <n v="972"/>
    <n v="80610"/>
    <x v="12"/>
    <n v="7.265789354462307E-2"/>
  </r>
  <r>
    <x v="13"/>
    <n v="7.1999999999999995E-2"/>
    <n v="429500"/>
    <n v="3048"/>
    <n v="972"/>
    <n v="80610"/>
    <x v="13"/>
    <n v="0.11550412253506577"/>
  </r>
  <r>
    <x v="14"/>
    <n v="7.0720000000000005E-2"/>
    <n v="435495"/>
    <n v="3048"/>
    <n v="972"/>
    <n v="80610"/>
    <x v="14"/>
    <n v="0.20334950429816598"/>
  </r>
  <r>
    <x v="15"/>
    <n v="6.8400000000000002E-2"/>
    <n v="440000"/>
    <n v="3048"/>
    <n v="972"/>
    <n v="80610"/>
    <x v="15"/>
    <n v="0.14188429399251809"/>
  </r>
  <r>
    <x v="16"/>
    <n v="6.7140000000000005E-2"/>
    <n v="445000"/>
    <n v="3048"/>
    <n v="972"/>
    <n v="80610"/>
    <x v="16"/>
    <n v="0.11711597655953414"/>
  </r>
  <r>
    <x v="17"/>
    <n v="6.4250000000000002E-2"/>
    <n v="441012"/>
    <n v="3048"/>
    <n v="972"/>
    <n v="80610"/>
    <x v="17"/>
    <n v="0.1360113180016852"/>
  </r>
  <r>
    <x v="18"/>
    <n v="6.3424999999999995E-2"/>
    <n v="430000"/>
    <n v="3048"/>
    <n v="972"/>
    <n v="80610"/>
    <x v="18"/>
    <n v="0.17136111340317697"/>
  </r>
  <r>
    <x v="19"/>
    <n v="6.5439999999999998E-2"/>
    <n v="424000"/>
    <n v="3048"/>
    <n v="972"/>
    <n v="80610"/>
    <x v="19"/>
    <n v="0.33134675175986528"/>
  </r>
  <r>
    <x v="20"/>
    <n v="6.2575000000000006E-2"/>
    <n v="414365"/>
    <n v="3048"/>
    <n v="972"/>
    <n v="80610"/>
    <x v="20"/>
    <n v="0.36786832704085742"/>
  </r>
  <r>
    <x v="21"/>
    <n v="6.2725000000000003E-2"/>
    <n v="403700"/>
    <n v="3048"/>
    <n v="972"/>
    <n v="80610"/>
    <x v="21"/>
    <n v="0.42780931848159903"/>
  </r>
  <r>
    <x v="22"/>
    <n v="6.3640000000000002E-2"/>
    <n v="405000"/>
    <n v="2869"/>
    <n v="919"/>
    <n v="74580"/>
    <x v="22"/>
    <n v="0.50649955710700945"/>
  </r>
  <r>
    <x v="23"/>
    <n v="6.8049999999999999E-2"/>
    <n v="416000"/>
    <n v="2869"/>
    <n v="919"/>
    <n v="74580"/>
    <x v="23"/>
    <n v="0.59272283161223704"/>
  </r>
  <r>
    <x v="24"/>
    <n v="6.9000000000000006E-2"/>
    <n v="425000"/>
    <n v="2869"/>
    <n v="919"/>
    <n v="74580"/>
    <x v="24"/>
    <n v="0.63383128839617908"/>
  </r>
  <r>
    <x v="25"/>
    <n v="6.1120000000000001E-2"/>
    <n v="427750"/>
    <n v="2869"/>
    <n v="919"/>
    <n v="74580"/>
    <x v="25"/>
    <n v="0.55604688164324279"/>
  </r>
  <r>
    <x v="26"/>
    <n v="5.2225000000000001E-2"/>
    <n v="432590"/>
    <n v="2869"/>
    <n v="919"/>
    <n v="74580"/>
    <x v="26"/>
    <n v="0.45256309376880849"/>
  </r>
  <r>
    <x v="27"/>
    <n v="5.4125E-2"/>
    <n v="443900"/>
    <n v="2869"/>
    <n v="919"/>
    <n v="74580"/>
    <x v="27"/>
    <n v="0.49596145476187725"/>
  </r>
  <r>
    <x v="28"/>
    <n v="5.5219999999999998E-2"/>
    <n v="449000"/>
    <n v="2869"/>
    <n v="919"/>
    <n v="74580"/>
    <x v="28"/>
    <n v="0.50691726481469845"/>
  </r>
  <r>
    <x v="29"/>
    <n v="5.2299999999999999E-2"/>
    <n v="437450"/>
    <n v="2869"/>
    <n v="919"/>
    <n v="74580"/>
    <x v="29"/>
    <n v="0.44473697231528225"/>
  </r>
  <r>
    <x v="30"/>
    <n v="4.9825000000000001E-2"/>
    <n v="419500"/>
    <n v="2869"/>
    <n v="919"/>
    <n v="74580"/>
    <x v="30"/>
    <n v="0.36727608672645368"/>
  </r>
  <r>
    <x v="31"/>
    <n v="4.172E-2"/>
    <n v="399450"/>
    <n v="2869"/>
    <n v="919"/>
    <n v="74580"/>
    <x v="31"/>
    <n v="0.25482268931901225"/>
  </r>
  <r>
    <x v="32"/>
    <n v="3.7624999999999999E-2"/>
    <n v="384500"/>
    <n v="2869"/>
    <n v="919"/>
    <n v="74580"/>
    <x v="32"/>
    <n v="0.22497970248468591"/>
  </r>
  <r>
    <x v="33"/>
    <n v="3.4450000000000001E-2"/>
    <n v="369900"/>
    <n v="2869"/>
    <n v="919"/>
    <n v="74580"/>
    <x v="33"/>
    <n v="0.18139667770251344"/>
  </r>
  <r>
    <x v="34"/>
    <n v="3.0980000000000001E-2"/>
    <n v="369161"/>
    <n v="2690"/>
    <n v="837"/>
    <n v="70780"/>
    <x v="34"/>
    <n v="0.13706819754143842"/>
  </r>
  <r>
    <x v="35"/>
    <n v="3.0675000000000001E-2"/>
    <n v="374131"/>
    <n v="2690"/>
    <n v="837"/>
    <n v="70780"/>
    <x v="35"/>
    <n v="0.12081279442744931"/>
  </r>
  <r>
    <x v="36"/>
    <n v="3.0675000000000001E-2"/>
    <n v="375000"/>
    <n v="2690"/>
    <n v="837"/>
    <n v="70780"/>
    <x v="36"/>
    <n v="9.6656019038798294E-2"/>
  </r>
  <r>
    <x v="37"/>
    <n v="2.9000000000000001E-2"/>
    <n v="375000"/>
    <n v="2690"/>
    <n v="837"/>
    <n v="70780"/>
    <x v="37"/>
    <n v="7.1214779556609889E-2"/>
  </r>
  <r>
    <x v="38"/>
    <n v="2.8424999999999999E-2"/>
    <n v="375000"/>
    <n v="2690"/>
    <n v="837"/>
    <n v="70780"/>
    <x v="38"/>
    <n v="5.9729518375762534E-2"/>
  </r>
  <r>
    <x v="39"/>
    <n v="2.8680000000000001E-2"/>
    <n v="379000"/>
    <n v="2690"/>
    <n v="837"/>
    <n v="70780"/>
    <x v="39"/>
    <n v="7.286272534772946E-2"/>
  </r>
  <r>
    <x v="40"/>
    <n v="2.9749999999999999E-2"/>
    <n v="379900"/>
    <n v="2690"/>
    <n v="837"/>
    <n v="70780"/>
    <x v="40"/>
    <n v="8.5001354231316675E-2"/>
  </r>
  <r>
    <x v="41"/>
    <n v="2.9624999999999999E-2"/>
    <n v="376451"/>
    <n v="2690"/>
    <n v="837"/>
    <n v="70780"/>
    <x v="41"/>
    <n v="9.5304445497682813E-2"/>
  </r>
  <r>
    <x v="42"/>
    <n v="3.0599999999999999E-2"/>
    <n v="369450"/>
    <n v="2690"/>
    <n v="837"/>
    <n v="70780"/>
    <x v="42"/>
    <n v="0.10821698808995688"/>
  </r>
  <r>
    <x v="43"/>
    <n v="3.0825000000000002E-2"/>
    <n v="352450"/>
    <n v="2690"/>
    <n v="837"/>
    <n v="70780"/>
    <x v="43"/>
    <n v="5.407371711461418E-2"/>
  </r>
  <r>
    <x v="44"/>
    <n v="2.81E-2"/>
    <n v="343500"/>
    <n v="2690"/>
    <n v="837"/>
    <n v="70780"/>
    <x v="44"/>
    <n v="3.7826611217168342E-2"/>
  </r>
  <r>
    <x v="45"/>
    <n v="2.7349999999999999E-2"/>
    <n v="335000"/>
    <n v="2690"/>
    <n v="837"/>
    <n v="70780"/>
    <x v="45"/>
    <n v="1.0066426839589134E-2"/>
  </r>
  <r>
    <x v="46"/>
    <n v="2.6839999999999999E-2"/>
    <n v="336250"/>
    <n v="2551"/>
    <n v="806"/>
    <n v="68010"/>
    <x v="46"/>
    <n v="-6.0281087086036201E-3"/>
  </r>
  <r>
    <x v="47"/>
    <n v="2.7650000000000001E-2"/>
    <n v="342000"/>
    <n v="2551"/>
    <n v="806"/>
    <n v="68010"/>
    <x v="47"/>
    <n v="4.9151421429221671E-3"/>
  </r>
  <r>
    <x v="48"/>
    <n v="2.8340000000000001E-2"/>
    <n v="349000"/>
    <n v="2551"/>
    <n v="806"/>
    <n v="68010"/>
    <x v="48"/>
    <n v="1.6291752670266443E-2"/>
  </r>
  <r>
    <x v="49"/>
    <n v="2.8899999999999999E-2"/>
    <n v="349000"/>
    <n v="2551"/>
    <n v="806"/>
    <n v="68010"/>
    <x v="49"/>
    <n v="2.4039494488577343E-2"/>
  </r>
  <r>
    <x v="50"/>
    <n v="2.9350000000000001E-2"/>
    <n v="349000"/>
    <n v="2551"/>
    <n v="806"/>
    <n v="68010"/>
    <x v="50"/>
    <n v="1.889938023383993E-2"/>
  </r>
  <r>
    <x v="51"/>
    <n v="3.0159999999999999E-2"/>
    <n v="345000"/>
    <n v="2551"/>
    <n v="806"/>
    <n v="68010"/>
    <x v="51"/>
    <n v="-6.7166926902132544E-3"/>
  </r>
  <r>
    <x v="52"/>
    <n v="3.1625E-2"/>
    <n v="339450"/>
    <n v="2551"/>
    <n v="806"/>
    <n v="68010"/>
    <x v="52"/>
    <n v="-9.9079222723222216E-3"/>
  </r>
  <r>
    <x v="53"/>
    <n v="3.2325E-2"/>
    <n v="329000"/>
    <n v="2551"/>
    <n v="806"/>
    <n v="68010"/>
    <x v="53"/>
    <n v="-5.361400550711936E-2"/>
  </r>
  <r>
    <x v="54"/>
    <n v="3.3059999999999999E-2"/>
    <n v="319250"/>
    <n v="2551"/>
    <n v="806"/>
    <n v="68010"/>
    <x v="54"/>
    <n v="-6.3824913513687478E-2"/>
  </r>
  <r>
    <x v="55"/>
    <n v="3.4500000000000003E-2"/>
    <n v="319000"/>
    <n v="2551"/>
    <n v="806"/>
    <n v="68010"/>
    <x v="55"/>
    <n v="-3.8929480413454662E-2"/>
  </r>
  <r>
    <x v="56"/>
    <n v="3.465E-2"/>
    <n v="305485"/>
    <n v="2551"/>
    <n v="806"/>
    <n v="68010"/>
    <x v="56"/>
    <n v="-5.5007168167307656E-2"/>
  </r>
  <r>
    <x v="57"/>
    <n v="3.6240000000000001E-2"/>
    <n v="299250"/>
    <n v="2551"/>
    <n v="806"/>
    <n v="68010"/>
    <x v="57"/>
    <n v="-4.6878057146708722E-2"/>
  </r>
  <r>
    <x v="58"/>
    <n v="3.7199999999999997E-2"/>
    <n v="299900"/>
    <n v="2471"/>
    <n v="758"/>
    <n v="68700"/>
    <x v="58"/>
    <n v="-5.3769142781269645E-2"/>
  </r>
  <r>
    <x v="59"/>
    <n v="3.6949999999999997E-2"/>
    <n v="305000"/>
    <n v="2471"/>
    <n v="758"/>
    <n v="68700"/>
    <x v="59"/>
    <n v="-7.7418369864065584E-2"/>
  </r>
  <r>
    <x v="60"/>
    <n v="3.6880000000000003E-2"/>
    <n v="309945"/>
    <n v="2471"/>
    <n v="758"/>
    <n v="68700"/>
    <x v="60"/>
    <n v="-6.3298957742740483E-2"/>
  </r>
  <r>
    <x v="61"/>
    <n v="3.6049999999999999E-2"/>
    <n v="312477"/>
    <n v="2471"/>
    <n v="758"/>
    <n v="68700"/>
    <x v="61"/>
    <n v="-5.2452614529208623E-2"/>
  </r>
  <r>
    <x v="62"/>
    <n v="3.6159999999999998E-2"/>
    <n v="315791"/>
    <n v="2471"/>
    <n v="758"/>
    <n v="68700"/>
    <x v="62"/>
    <n v="-3.8622941049887803E-2"/>
  </r>
  <r>
    <x v="63"/>
    <n v="3.7650000000000003E-2"/>
    <n v="319450"/>
    <n v="2471"/>
    <n v="758"/>
    <n v="68700"/>
    <x v="63"/>
    <n v="-1.5203050936080266E-2"/>
  </r>
  <r>
    <x v="64"/>
    <n v="3.8025000000000003E-2"/>
    <n v="320000"/>
    <n v="2471"/>
    <n v="758"/>
    <n v="68700"/>
    <x v="64"/>
    <n v="-1.5396941112440315E-2"/>
  </r>
  <r>
    <x v="65"/>
    <n v="4.0719999999999999E-2"/>
    <n v="319950"/>
    <n v="2471"/>
    <n v="758"/>
    <n v="68700"/>
    <x v="65"/>
    <n v="1.1130885967427725E-2"/>
  </r>
  <r>
    <x v="66"/>
    <n v="4.1424999999999997E-2"/>
    <n v="314950"/>
    <n v="2471"/>
    <n v="758"/>
    <n v="68700"/>
    <x v="66"/>
    <n v="2.9605368737253258E-2"/>
  </r>
  <r>
    <x v="67"/>
    <n v="4.265E-2"/>
    <n v="305814"/>
    <n v="2471"/>
    <n v="758"/>
    <n v="68700"/>
    <x v="67"/>
    <n v="4.875330315503125E-2"/>
  </r>
  <r>
    <x v="68"/>
    <n v="4.3700000000000003E-2"/>
    <n v="296000"/>
    <n v="2471"/>
    <n v="758"/>
    <n v="68700"/>
    <x v="68"/>
    <n v="7.252700388350547E-2"/>
  </r>
  <r>
    <x v="69"/>
    <n v="4.4639999999999999E-2"/>
    <n v="289450"/>
    <n v="2471"/>
    <n v="758"/>
    <n v="68700"/>
    <x v="69"/>
    <n v="0.11259499584962587"/>
  </r>
  <r>
    <x v="70"/>
    <n v="4.6375E-2"/>
    <n v="289900"/>
    <n v="2375"/>
    <n v="729"/>
    <n v="63180"/>
    <x v="70"/>
    <n v="0.14272001029459236"/>
  </r>
  <r>
    <x v="71"/>
    <n v="4.8660000000000002E-2"/>
    <n v="295000"/>
    <n v="2375"/>
    <n v="729"/>
    <n v="63180"/>
    <x v="71"/>
    <n v="0.17248493743341914"/>
  </r>
  <r>
    <x v="72"/>
    <n v="4.8300000000000003E-2"/>
    <n v="295250"/>
    <n v="2375"/>
    <n v="729"/>
    <n v="63180"/>
    <x v="72"/>
    <n v="0.1704476824318403"/>
  </r>
  <r>
    <x v="73"/>
    <n v="4.6274999999999997E-2"/>
    <n v="297500"/>
    <n v="2375"/>
    <n v="729"/>
    <n v="63180"/>
    <x v="73"/>
    <n v="0.16544167132275681"/>
  </r>
  <r>
    <x v="74"/>
    <n v="4.5499999999999999E-2"/>
    <n v="298500"/>
    <n v="2375"/>
    <n v="729"/>
    <n v="63180"/>
    <x v="74"/>
    <n v="0.15131902960219001"/>
  </r>
  <r>
    <x v="75"/>
    <n v="4.5275000000000003E-2"/>
    <n v="299450"/>
    <n v="2375"/>
    <n v="729"/>
    <n v="63180"/>
    <x v="75"/>
    <n v="0.1284798410420406"/>
  </r>
  <r>
    <x v="76"/>
    <n v="4.5699999999999998E-2"/>
    <n v="299900"/>
    <n v="2375"/>
    <n v="729"/>
    <n v="63180"/>
    <x v="76"/>
    <n v="0.14176163499760749"/>
  </r>
  <r>
    <x v="77"/>
    <n v="4.5859999999999998E-2"/>
    <n v="299450"/>
    <n v="2375"/>
    <n v="729"/>
    <n v="63180"/>
    <x v="77"/>
    <n v="0.13520980892271345"/>
  </r>
  <r>
    <x v="78"/>
    <n v="4.4674999999999999E-2"/>
    <n v="294950"/>
    <n v="2375"/>
    <n v="729"/>
    <n v="63180"/>
    <x v="78"/>
    <n v="0.12929287157483763"/>
  </r>
  <r>
    <x v="79"/>
    <n v="4.444E-2"/>
    <n v="285000"/>
    <n v="2375"/>
    <n v="729"/>
    <n v="63180"/>
    <x v="79"/>
    <n v="9.7545158352643907E-2"/>
  </r>
  <r>
    <x v="80"/>
    <n v="4.3299999999999998E-2"/>
    <n v="275450"/>
    <n v="2375"/>
    <n v="729"/>
    <n v="63180"/>
    <x v="80"/>
    <n v="8.8821714622657477E-2"/>
  </r>
  <r>
    <x v="81"/>
    <n v="4.0325E-2"/>
    <n v="269740"/>
    <n v="2375"/>
    <n v="729"/>
    <n v="63180"/>
    <x v="81"/>
    <n v="6.014853152139623E-2"/>
  </r>
  <r>
    <x v="82"/>
    <n v="3.95E-2"/>
    <n v="269900"/>
    <n v="2279"/>
    <n v="697"/>
    <n v="61255"/>
    <x v="82"/>
    <n v="4.5628532055311297E-2"/>
  </r>
  <r>
    <x v="83"/>
    <n v="3.9219999999999998E-2"/>
    <n v="274440"/>
    <n v="2279"/>
    <n v="697"/>
    <n v="61255"/>
    <x v="83"/>
    <n v="9.1291364830584282E-2"/>
  </r>
  <r>
    <x v="84"/>
    <n v="3.8949999999999999E-2"/>
    <n v="275000"/>
    <n v="2279"/>
    <n v="697"/>
    <n v="61255"/>
    <x v="84"/>
    <n v="0.11603310958325586"/>
  </r>
  <r>
    <x v="85"/>
    <n v="3.805E-2"/>
    <n v="275000"/>
    <n v="2279"/>
    <n v="697"/>
    <n v="61255"/>
    <x v="85"/>
    <n v="0.10720499103771967"/>
  </r>
  <r>
    <x v="86"/>
    <n v="3.8800000000000001E-2"/>
    <n v="275000"/>
    <n v="2279"/>
    <n v="697"/>
    <n v="61255"/>
    <x v="86"/>
    <n v="0.1173253612796679"/>
  </r>
  <r>
    <x v="87"/>
    <n v="3.9675000000000002E-2"/>
    <n v="279000"/>
    <n v="2279"/>
    <n v="697"/>
    <n v="61255"/>
    <x v="87"/>
    <n v="0.12669860668274893"/>
  </r>
  <r>
    <x v="88"/>
    <n v="3.9039999999999998E-2"/>
    <n v="279000"/>
    <n v="2279"/>
    <n v="697"/>
    <n v="61255"/>
    <x v="88"/>
    <e v="#DIV/0!"/>
  </r>
  <r>
    <x v="89"/>
    <n v="4.0099999999999997E-2"/>
    <n v="277488"/>
    <n v="2279"/>
    <n v="697"/>
    <n v="61255"/>
    <x v="89"/>
    <e v="#DIV/0!"/>
  </r>
  <r>
    <x v="90"/>
    <n v="4.045E-2"/>
    <n v="270000"/>
    <n v="2279"/>
    <n v="697"/>
    <n v="61255"/>
    <x v="90"/>
    <e v="#DIV/0!"/>
  </r>
  <r>
    <x v="91"/>
    <n v="4.1959999999999997E-2"/>
    <n v="264450"/>
    <n v="2279"/>
    <n v="697"/>
    <n v="61255"/>
    <x v="91"/>
    <e v="#DIV/0!"/>
  </r>
  <r>
    <x v="92"/>
    <n v="4.1674999999999997E-2"/>
    <n v="255400"/>
    <n v="2279"/>
    <n v="697"/>
    <n v="61255"/>
    <x v="92"/>
    <e v="#DIV/0!"/>
  </r>
  <r>
    <x v="93"/>
    <n v="4.1500000000000002E-2"/>
    <n v="249900"/>
    <n v="2279"/>
    <n v="697"/>
    <n v="61255"/>
    <x v="93"/>
    <e v="#DIV/0!"/>
  </r>
  <r>
    <x v="94"/>
    <n v="4.1980000000000003E-2"/>
    <n v="249900"/>
    <n v="2197"/>
    <n v="681"/>
    <n v="59040"/>
    <x v="94"/>
    <e v="#DIV/0!"/>
  </r>
  <r>
    <x v="95"/>
    <n v="3.7699999999999997E-2"/>
    <n v="252995"/>
    <n v="2197"/>
    <n v="681"/>
    <n v="59040"/>
    <x v="95"/>
    <e v="#DIV/0!"/>
  </r>
  <r>
    <x v="96"/>
    <n v="3.4700000000000002E-2"/>
    <n v="255000"/>
    <n v="2197"/>
    <n v="681"/>
    <n v="59040"/>
    <x v="96"/>
    <e v="#DIV/0!"/>
  </r>
  <r>
    <x v="97"/>
    <n v="3.4599999999999999E-2"/>
    <n v="255000"/>
    <n v="2197"/>
    <n v="681"/>
    <n v="59040"/>
    <x v="97"/>
    <e v="#DIV/0!"/>
  </r>
  <r>
    <x v="98"/>
    <n v="3.4349999999999999E-2"/>
    <n v="255271"/>
    <n v="2197"/>
    <n v="681"/>
    <n v="59040"/>
    <x v="98"/>
    <e v="#DIV/0!"/>
  </r>
  <r>
    <x v="99"/>
    <n v="3.44E-2"/>
    <n v="259000"/>
    <n v="2197"/>
    <n v="681"/>
    <n v="59040"/>
    <x v="99"/>
    <e v="#DIV/0!"/>
  </r>
  <r>
    <x v="100"/>
    <m/>
    <m/>
    <m/>
    <m/>
    <m/>
    <x v="1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A84164-C159-469B-AF6C-86526361E3DD}"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5" firstHeaderRow="1" firstDataRow="1" firstDataCol="1"/>
  <pivotFields count="10">
    <pivotField showAll="0">
      <items count="102">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0"/>
        <item t="default"/>
      </items>
    </pivotField>
    <pivotField showAll="0"/>
    <pivotField showAll="0"/>
    <pivotField showAll="0"/>
    <pivotField showAll="0"/>
    <pivotField showAll="0"/>
    <pivotField dataField="1" showAll="0">
      <items count="102">
        <item x="98"/>
        <item x="97"/>
        <item x="96"/>
        <item x="99"/>
        <item x="95"/>
        <item x="94"/>
        <item x="93"/>
        <item x="92"/>
        <item x="82"/>
        <item x="85"/>
        <item x="91"/>
        <item x="86"/>
        <item x="90"/>
        <item x="84"/>
        <item x="83"/>
        <item x="81"/>
        <item x="88"/>
        <item x="89"/>
        <item x="87"/>
        <item x="80"/>
        <item x="46"/>
        <item x="57"/>
        <item x="56"/>
        <item x="58"/>
        <item x="45"/>
        <item x="59"/>
        <item x="47"/>
        <item x="54"/>
        <item x="61"/>
        <item x="79"/>
        <item x="60"/>
        <item x="55"/>
        <item x="62"/>
        <item x="53"/>
        <item x="44"/>
        <item x="48"/>
        <item x="69"/>
        <item x="49"/>
        <item x="51"/>
        <item x="50"/>
        <item x="52"/>
        <item x="78"/>
        <item x="68"/>
        <item x="70"/>
        <item x="63"/>
        <item x="64"/>
        <item x="67"/>
        <item x="74"/>
        <item x="75"/>
        <item x="73"/>
        <item x="76"/>
        <item x="77"/>
        <item x="66"/>
        <item x="43"/>
        <item x="65"/>
        <item x="72"/>
        <item x="71"/>
        <item x="38"/>
        <item x="37"/>
        <item x="42"/>
        <item x="39"/>
        <item x="34"/>
        <item x="41"/>
        <item x="35"/>
        <item x="36"/>
        <item x="40"/>
        <item x="33"/>
        <item x="32"/>
        <item x="31"/>
        <item x="30"/>
        <item x="26"/>
        <item x="29"/>
        <item x="27"/>
        <item x="21"/>
        <item x="22"/>
        <item x="28"/>
        <item x="20"/>
        <item x="25"/>
        <item x="1"/>
        <item x="9"/>
        <item x="18"/>
        <item x="10"/>
        <item x="0"/>
        <item x="23"/>
        <item x="19"/>
        <item x="8"/>
        <item x="2"/>
        <item x="17"/>
        <item x="24"/>
        <item x="7"/>
        <item x="16"/>
        <item x="15"/>
        <item x="6"/>
        <item x="3"/>
        <item x="13"/>
        <item x="14"/>
        <item x="11"/>
        <item x="4"/>
        <item x="5"/>
        <item x="12"/>
        <item x="10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12">
        <item x="0"/>
        <item x="1"/>
        <item x="2"/>
        <item x="3"/>
        <item x="4"/>
        <item x="5"/>
        <item x="6"/>
        <item x="7"/>
        <item x="8"/>
        <item x="9"/>
        <item x="10"/>
        <item t="default"/>
      </items>
    </pivotField>
  </pivotFields>
  <rowFields count="2">
    <field x="9"/>
    <field x="8"/>
  </rowFields>
  <rowItems count="112">
    <i>
      <x/>
    </i>
    <i r="1">
      <x/>
    </i>
    <i>
      <x v="1"/>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r="1">
      <x v="4"/>
    </i>
    <i r="1">
      <x v="5"/>
    </i>
    <i r="1">
      <x v="6"/>
    </i>
    <i r="1">
      <x v="7"/>
    </i>
    <i r="1">
      <x v="8"/>
    </i>
    <i r="1">
      <x v="9"/>
    </i>
    <i r="1">
      <x v="10"/>
    </i>
    <i r="1">
      <x v="11"/>
    </i>
    <i r="1">
      <x v="12"/>
    </i>
    <i>
      <x v="7"/>
    </i>
    <i r="1">
      <x v="1"/>
    </i>
    <i r="1">
      <x v="2"/>
    </i>
    <i r="1">
      <x v="3"/>
    </i>
    <i r="1">
      <x v="4"/>
    </i>
    <i r="1">
      <x v="5"/>
    </i>
    <i r="1">
      <x v="6"/>
    </i>
    <i r="1">
      <x v="7"/>
    </i>
    <i r="1">
      <x v="8"/>
    </i>
    <i r="1">
      <x v="9"/>
    </i>
    <i r="1">
      <x v="10"/>
    </i>
    <i r="1">
      <x v="11"/>
    </i>
    <i r="1">
      <x v="12"/>
    </i>
    <i>
      <x v="8"/>
    </i>
    <i r="1">
      <x v="1"/>
    </i>
    <i r="1">
      <x v="2"/>
    </i>
    <i r="1">
      <x v="3"/>
    </i>
    <i r="1">
      <x v="4"/>
    </i>
    <i r="1">
      <x v="5"/>
    </i>
    <i r="1">
      <x v="6"/>
    </i>
    <i r="1">
      <x v="7"/>
    </i>
    <i r="1">
      <x v="8"/>
    </i>
    <i r="1">
      <x v="9"/>
    </i>
    <i r="1">
      <x v="10"/>
    </i>
    <i r="1">
      <x v="11"/>
    </i>
    <i r="1">
      <x v="12"/>
    </i>
    <i>
      <x v="9"/>
    </i>
    <i r="1">
      <x v="1"/>
    </i>
    <i r="1">
      <x v="2"/>
    </i>
    <i r="1">
      <x v="3"/>
    </i>
    <i r="1">
      <x v="4"/>
    </i>
    <i r="1">
      <x v="5"/>
    </i>
    <i r="1">
      <x v="6"/>
    </i>
    <i r="1">
      <x v="7"/>
    </i>
    <i r="1">
      <x v="8"/>
    </i>
    <i r="1">
      <x v="9"/>
    </i>
    <i r="1">
      <x v="10"/>
    </i>
    <i t="grand">
      <x/>
    </i>
  </rowItems>
  <colItems count="1">
    <i/>
  </colItems>
  <dataFields count="1">
    <dataField name="Sum of IncomeRequired" fld="6" baseField="0" baseItem="0"/>
  </dataFields>
  <chartFormats count="2">
    <chartFormat chart="0" format="129" series="1">
      <pivotArea type="data" outline="0" fieldPosition="0">
        <references count="1">
          <reference field="4294967294" count="1" selected="0">
            <x v="0"/>
          </reference>
        </references>
      </pivotArea>
    </chartFormat>
    <chartFormat chart="4" format="1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E0BA1E-0E2A-457C-8545-5DB34A364AFB}"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5" firstHeaderRow="1" firstDataRow="1" firstDataCol="1"/>
  <pivotFields count="10">
    <pivotField showAll="0">
      <items count="102">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0"/>
        <item t="default"/>
      </items>
    </pivotField>
    <pivotField showAll="0"/>
    <pivotField showAll="0"/>
    <pivotField showAll="0"/>
    <pivotField showAll="0"/>
    <pivotField showAll="0"/>
    <pivotField showAll="0">
      <items count="102">
        <item x="98"/>
        <item x="97"/>
        <item x="96"/>
        <item x="99"/>
        <item x="95"/>
        <item x="94"/>
        <item x="93"/>
        <item x="92"/>
        <item x="82"/>
        <item x="85"/>
        <item x="91"/>
        <item x="86"/>
        <item x="90"/>
        <item x="84"/>
        <item x="83"/>
        <item x="81"/>
        <item x="88"/>
        <item x="89"/>
        <item x="87"/>
        <item x="80"/>
        <item x="46"/>
        <item x="57"/>
        <item x="56"/>
        <item x="58"/>
        <item x="45"/>
        <item x="59"/>
        <item x="47"/>
        <item x="54"/>
        <item x="61"/>
        <item x="79"/>
        <item x="60"/>
        <item x="55"/>
        <item x="62"/>
        <item x="53"/>
        <item x="44"/>
        <item x="48"/>
        <item x="69"/>
        <item x="49"/>
        <item x="51"/>
        <item x="50"/>
        <item x="52"/>
        <item x="78"/>
        <item x="68"/>
        <item x="70"/>
        <item x="63"/>
        <item x="64"/>
        <item x="67"/>
        <item x="74"/>
        <item x="75"/>
        <item x="73"/>
        <item x="76"/>
        <item x="77"/>
        <item x="66"/>
        <item x="43"/>
        <item x="65"/>
        <item x="72"/>
        <item x="71"/>
        <item x="38"/>
        <item x="37"/>
        <item x="42"/>
        <item x="39"/>
        <item x="34"/>
        <item x="41"/>
        <item x="35"/>
        <item x="36"/>
        <item x="40"/>
        <item x="33"/>
        <item x="32"/>
        <item x="31"/>
        <item x="30"/>
        <item x="26"/>
        <item x="29"/>
        <item x="27"/>
        <item x="21"/>
        <item x="22"/>
        <item x="28"/>
        <item x="20"/>
        <item x="25"/>
        <item x="1"/>
        <item x="9"/>
        <item x="18"/>
        <item x="10"/>
        <item x="0"/>
        <item x="23"/>
        <item x="19"/>
        <item x="8"/>
        <item x="2"/>
        <item x="17"/>
        <item x="24"/>
        <item x="7"/>
        <item x="16"/>
        <item x="15"/>
        <item x="6"/>
        <item x="3"/>
        <item x="13"/>
        <item x="14"/>
        <item x="11"/>
        <item x="4"/>
        <item x="5"/>
        <item x="12"/>
        <item x="100"/>
        <item t="default"/>
      </items>
    </pivotField>
    <pivotField dataField="1" showAll="0"/>
    <pivotField axis="axisRow" showAll="0">
      <items count="15">
        <item x="0"/>
        <item x="1"/>
        <item x="2"/>
        <item x="3"/>
        <item x="4"/>
        <item x="5"/>
        <item x="6"/>
        <item x="7"/>
        <item x="8"/>
        <item x="9"/>
        <item x="10"/>
        <item x="11"/>
        <item x="12"/>
        <item x="13"/>
        <item t="default"/>
      </items>
    </pivotField>
    <pivotField axis="axisRow" showAll="0">
      <items count="12">
        <item x="0"/>
        <item x="1"/>
        <item x="2"/>
        <item x="3"/>
        <item x="4"/>
        <item x="5"/>
        <item x="6"/>
        <item x="7"/>
        <item x="8"/>
        <item x="9"/>
        <item x="10"/>
        <item t="default"/>
      </items>
    </pivotField>
  </pivotFields>
  <rowFields count="2">
    <field x="9"/>
    <field x="8"/>
  </rowFields>
  <rowItems count="112">
    <i>
      <x/>
    </i>
    <i r="1">
      <x/>
    </i>
    <i>
      <x v="1"/>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r="1">
      <x v="4"/>
    </i>
    <i r="1">
      <x v="5"/>
    </i>
    <i r="1">
      <x v="6"/>
    </i>
    <i r="1">
      <x v="7"/>
    </i>
    <i r="1">
      <x v="8"/>
    </i>
    <i r="1">
      <x v="9"/>
    </i>
    <i r="1">
      <x v="10"/>
    </i>
    <i r="1">
      <x v="11"/>
    </i>
    <i r="1">
      <x v="12"/>
    </i>
    <i>
      <x v="7"/>
    </i>
    <i r="1">
      <x v="1"/>
    </i>
    <i r="1">
      <x v="2"/>
    </i>
    <i r="1">
      <x v="3"/>
    </i>
    <i r="1">
      <x v="4"/>
    </i>
    <i r="1">
      <x v="5"/>
    </i>
    <i r="1">
      <x v="6"/>
    </i>
    <i r="1">
      <x v="7"/>
    </i>
    <i r="1">
      <x v="8"/>
    </i>
    <i r="1">
      <x v="9"/>
    </i>
    <i r="1">
      <x v="10"/>
    </i>
    <i r="1">
      <x v="11"/>
    </i>
    <i r="1">
      <x v="12"/>
    </i>
    <i>
      <x v="8"/>
    </i>
    <i r="1">
      <x v="1"/>
    </i>
    <i r="1">
      <x v="2"/>
    </i>
    <i r="1">
      <x v="3"/>
    </i>
    <i r="1">
      <x v="4"/>
    </i>
    <i r="1">
      <x v="5"/>
    </i>
    <i r="1">
      <x v="6"/>
    </i>
    <i r="1">
      <x v="7"/>
    </i>
    <i r="1">
      <x v="8"/>
    </i>
    <i r="1">
      <x v="9"/>
    </i>
    <i r="1">
      <x v="10"/>
    </i>
    <i r="1">
      <x v="11"/>
    </i>
    <i r="1">
      <x v="12"/>
    </i>
    <i>
      <x v="9"/>
    </i>
    <i r="1">
      <x v="1"/>
    </i>
    <i r="1">
      <x v="2"/>
    </i>
    <i r="1">
      <x v="3"/>
    </i>
    <i r="1">
      <x v="4"/>
    </i>
    <i r="1">
      <x v="5"/>
    </i>
    <i r="1">
      <x v="6"/>
    </i>
    <i r="1">
      <x v="7"/>
    </i>
    <i r="1">
      <x v="8"/>
    </i>
    <i r="1">
      <x v="9"/>
    </i>
    <i r="1">
      <x v="10"/>
    </i>
    <i t="grand">
      <x/>
    </i>
  </rowItems>
  <colItems count="1">
    <i/>
  </colItems>
  <dataFields count="1">
    <dataField name="Average of IncomeRequiredYoY" fld="7" subtotal="average" baseField="8" baseItem="3"/>
  </dataFields>
  <chartFormats count="2">
    <chartFormat chart="3" format="144" series="1">
      <pivotArea type="data" outline="0" fieldPosition="0">
        <references count="1">
          <reference field="4294967294" count="1" selected="0">
            <x v="0"/>
          </reference>
        </references>
      </pivotArea>
    </chartFormat>
    <chartFormat chart="6" format="14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tartOfMonth" xr10:uid="{F2F55912-BC3A-450A-9A4A-7C96768ACDAC}" sourceName="Months (StartOfMonth)">
  <pivotTables>
    <pivotTable tabId="2" name="PivotTable1"/>
    <pivotTable tabId="3" name="PivotTable1"/>
  </pivotTables>
  <data>
    <tabular pivotCacheId="838207768">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tartOfMonth" xr10:uid="{155AC384-406D-4041-AEAE-98B299C0DBE5}" sourceName="Years (StartOfMonth)">
  <pivotTables>
    <pivotTable tabId="2" name="PivotTable1"/>
    <pivotTable tabId="3" name="PivotTable1"/>
  </pivotTables>
  <data>
    <tabular pivotCacheId="838207768">
      <items count="11">
        <i x="1" s="1"/>
        <i x="2" s="1"/>
        <i x="3" s="1"/>
        <i x="4" s="1"/>
        <i x="5" s="1"/>
        <i x="6" s="1"/>
        <i x="7" s="1"/>
        <i x="8" s="1"/>
        <i x="9" s="1"/>
        <i x="0" s="1" nd="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tartOfMonth)" xr10:uid="{6E148EFC-BB8E-4E56-AC21-0C9BBF6361D7}" cache="Slicer_Months__StartOfMonth" caption="Months (StartOfMonth)" rowHeight="247650"/>
  <slicer name="Years (StartOfMonth)" xr10:uid="{3B4D0B25-1B51-4B3E-A3FA-0BF86B5DA6E7}" cache="Slicer_Years__StartOfMonth" caption="Years (StartOfMonth)"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FB772-B5D9-4F7E-A40C-EEEC94F772D7}">
  <dimension ref="A3:B115"/>
  <sheetViews>
    <sheetView workbookViewId="0">
      <selection activeCell="G2" sqref="G2"/>
    </sheetView>
  </sheetViews>
  <sheetFormatPr defaultRowHeight="14.4" x14ac:dyDescent="0.3"/>
  <cols>
    <col min="1" max="1" width="12.44140625" bestFit="1" customWidth="1"/>
    <col min="2" max="2" width="21" bestFit="1" customWidth="1"/>
    <col min="3" max="3" width="27.33203125" bestFit="1" customWidth="1"/>
    <col min="4" max="16" width="12" bestFit="1" customWidth="1"/>
    <col min="17" max="17" width="11" bestFit="1" customWidth="1"/>
    <col min="18" max="23" width="12" bestFit="1" customWidth="1"/>
    <col min="24" max="24" width="10" bestFit="1" customWidth="1"/>
    <col min="25" max="40" width="12" bestFit="1" customWidth="1"/>
    <col min="41" max="41" width="11" bestFit="1" customWidth="1"/>
    <col min="42" max="42" width="12" bestFit="1" customWidth="1"/>
    <col min="43" max="43" width="11" bestFit="1" customWidth="1"/>
    <col min="44" max="51" width="12" bestFit="1" customWidth="1"/>
    <col min="52" max="52" width="11" bestFit="1" customWidth="1"/>
    <col min="53" max="58" width="12" bestFit="1" customWidth="1"/>
    <col min="59" max="59" width="11" bestFit="1" customWidth="1"/>
    <col min="60" max="72" width="12" bestFit="1" customWidth="1"/>
    <col min="73" max="73" width="11" bestFit="1" customWidth="1"/>
    <col min="74" max="74" width="10" bestFit="1" customWidth="1"/>
    <col min="75" max="75" width="11" bestFit="1" customWidth="1"/>
    <col min="76" max="93" width="12" bestFit="1" customWidth="1"/>
    <col min="94" max="94" width="11" bestFit="1" customWidth="1"/>
    <col min="95" max="101" width="12" bestFit="1" customWidth="1"/>
    <col min="102" max="102" width="7" bestFit="1" customWidth="1"/>
    <col min="103" max="103" width="12" bestFit="1" customWidth="1"/>
  </cols>
  <sheetData>
    <row r="3" spans="1:2" x14ac:dyDescent="0.3">
      <c r="A3" s="3" t="s">
        <v>9</v>
      </c>
      <c r="B3" t="s">
        <v>20</v>
      </c>
    </row>
    <row r="4" spans="1:2" x14ac:dyDescent="0.3">
      <c r="A4" s="4" t="s">
        <v>10</v>
      </c>
      <c r="B4" s="5"/>
    </row>
    <row r="5" spans="1:2" x14ac:dyDescent="0.3">
      <c r="A5" s="6" t="s">
        <v>10</v>
      </c>
      <c r="B5" s="5"/>
    </row>
    <row r="6" spans="1:2" x14ac:dyDescent="0.3">
      <c r="A6" s="4" t="s">
        <v>11</v>
      </c>
      <c r="B6" s="5">
        <v>294467.83852134086</v>
      </c>
    </row>
    <row r="7" spans="1:2" x14ac:dyDescent="0.3">
      <c r="A7" s="6" t="s">
        <v>27</v>
      </c>
      <c r="B7" s="5">
        <v>48841.863356342968</v>
      </c>
    </row>
    <row r="8" spans="1:2" x14ac:dyDescent="0.3">
      <c r="A8" s="6" t="s">
        <v>28</v>
      </c>
      <c r="B8" s="5">
        <v>48252.652452875765</v>
      </c>
    </row>
    <row r="9" spans="1:2" x14ac:dyDescent="0.3">
      <c r="A9" s="6" t="s">
        <v>29</v>
      </c>
      <c r="B9" s="5">
        <v>48332.178917524019</v>
      </c>
    </row>
    <row r="10" spans="1:2" x14ac:dyDescent="0.3">
      <c r="A10" s="6" t="s">
        <v>30</v>
      </c>
      <c r="B10" s="5">
        <v>48380.462670015149</v>
      </c>
    </row>
    <row r="11" spans="1:2" x14ac:dyDescent="0.3">
      <c r="A11" s="6" t="s">
        <v>31</v>
      </c>
      <c r="B11" s="5">
        <v>49527.432222681324</v>
      </c>
    </row>
    <row r="12" spans="1:2" x14ac:dyDescent="0.3">
      <c r="A12" s="6" t="s">
        <v>32</v>
      </c>
      <c r="B12" s="5">
        <v>51133.248901901643</v>
      </c>
    </row>
    <row r="13" spans="1:2" x14ac:dyDescent="0.3">
      <c r="A13" s="4" t="s">
        <v>12</v>
      </c>
      <c r="B13" s="5">
        <v>644963.0460968425</v>
      </c>
    </row>
    <row r="14" spans="1:2" x14ac:dyDescent="0.3">
      <c r="A14" s="6" t="s">
        <v>21</v>
      </c>
      <c r="B14" s="5">
        <v>51222.254923849359</v>
      </c>
    </row>
    <row r="15" spans="1:2" x14ac:dyDescent="0.3">
      <c r="A15" s="6" t="s">
        <v>22</v>
      </c>
      <c r="B15" s="5">
        <v>52219.739885402152</v>
      </c>
    </row>
    <row r="16" spans="1:2" x14ac:dyDescent="0.3">
      <c r="A16" s="6" t="s">
        <v>23</v>
      </c>
      <c r="B16" s="5">
        <v>53868.012317357476</v>
      </c>
    </row>
    <row r="17" spans="1:2" x14ac:dyDescent="0.3">
      <c r="A17" s="6" t="s">
        <v>24</v>
      </c>
      <c r="B17" s="5">
        <v>53985.215590995118</v>
      </c>
    </row>
    <row r="18" spans="1:2" x14ac:dyDescent="0.3">
      <c r="A18" s="6" t="s">
        <v>25</v>
      </c>
      <c r="B18" s="5">
        <v>55016.593855302155</v>
      </c>
    </row>
    <row r="19" spans="1:2" x14ac:dyDescent="0.3">
      <c r="A19" s="6" t="s">
        <v>26</v>
      </c>
      <c r="B19" s="5">
        <v>54684.186780681026</v>
      </c>
    </row>
    <row r="20" spans="1:2" x14ac:dyDescent="0.3">
      <c r="A20" s="6" t="s">
        <v>27</v>
      </c>
      <c r="B20" s="5">
        <v>55030.059391380833</v>
      </c>
    </row>
    <row r="21" spans="1:2" x14ac:dyDescent="0.3">
      <c r="A21" s="6" t="s">
        <v>28</v>
      </c>
      <c r="B21" s="5">
        <v>53913.912334611668</v>
      </c>
    </row>
    <row r="22" spans="1:2" x14ac:dyDescent="0.3">
      <c r="A22" s="6" t="s">
        <v>29</v>
      </c>
      <c r="B22" s="5">
        <v>53513.629725210645</v>
      </c>
    </row>
    <row r="23" spans="1:2" x14ac:dyDescent="0.3">
      <c r="A23" s="6" t="s">
        <v>30</v>
      </c>
      <c r="B23" s="5">
        <v>53994.198196693636</v>
      </c>
    </row>
    <row r="24" spans="1:2" x14ac:dyDescent="0.3">
      <c r="A24" s="6" t="s">
        <v>31</v>
      </c>
      <c r="B24" s="5">
        <v>54048.85910684416</v>
      </c>
    </row>
    <row r="25" spans="1:2" x14ac:dyDescent="0.3">
      <c r="A25" s="6" t="s">
        <v>32</v>
      </c>
      <c r="B25" s="5">
        <v>53466.383988514273</v>
      </c>
    </row>
    <row r="26" spans="1:2" x14ac:dyDescent="0.3">
      <c r="A26" s="4" t="s">
        <v>13</v>
      </c>
      <c r="B26" s="5">
        <v>730345.96797477501</v>
      </c>
    </row>
    <row r="27" spans="1:2" x14ac:dyDescent="0.3">
      <c r="A27" s="6" t="s">
        <v>21</v>
      </c>
      <c r="B27" s="5">
        <v>54303.198338733506</v>
      </c>
    </row>
    <row r="28" spans="1:2" x14ac:dyDescent="0.3">
      <c r="A28" s="6" t="s">
        <v>22</v>
      </c>
      <c r="B28" s="5">
        <v>56857.986719172746</v>
      </c>
    </row>
    <row r="29" spans="1:2" x14ac:dyDescent="0.3">
      <c r="A29" s="6" t="s">
        <v>23</v>
      </c>
      <c r="B29" s="5">
        <v>59122.576108996283</v>
      </c>
    </row>
    <row r="30" spans="1:2" x14ac:dyDescent="0.3">
      <c r="A30" s="6" t="s">
        <v>24</v>
      </c>
      <c r="B30" s="5">
        <v>60965.119137341571</v>
      </c>
    </row>
    <row r="31" spans="1:2" x14ac:dyDescent="0.3">
      <c r="A31" s="6" t="s">
        <v>25</v>
      </c>
      <c r="B31" s="5">
        <v>62455.37699805609</v>
      </c>
    </row>
    <row r="32" spans="1:2" x14ac:dyDescent="0.3">
      <c r="A32" s="6" t="s">
        <v>26</v>
      </c>
      <c r="B32" s="5">
        <v>62436.306507224923</v>
      </c>
    </row>
    <row r="33" spans="1:2" x14ac:dyDescent="0.3">
      <c r="A33" s="6" t="s">
        <v>27</v>
      </c>
      <c r="B33" s="5">
        <v>62100.312674519497</v>
      </c>
    </row>
    <row r="34" spans="1:2" x14ac:dyDescent="0.3">
      <c r="A34" s="6" t="s">
        <v>28</v>
      </c>
      <c r="B34" s="5">
        <v>62072.113231142648</v>
      </c>
    </row>
    <row r="35" spans="1:2" x14ac:dyDescent="0.3">
      <c r="A35" s="6" t="s">
        <v>29</v>
      </c>
      <c r="B35" s="5">
        <v>62367.014065496653</v>
      </c>
    </row>
    <row r="36" spans="1:2" x14ac:dyDescent="0.3">
      <c r="A36" s="6" t="s">
        <v>30</v>
      </c>
      <c r="B36" s="5">
        <v>63197.384144085518</v>
      </c>
    </row>
    <row r="37" spans="1:2" x14ac:dyDescent="0.3">
      <c r="A37" s="6" t="s">
        <v>31</v>
      </c>
      <c r="B37" s="5">
        <v>63371.473188235861</v>
      </c>
    </row>
    <row r="38" spans="1:2" x14ac:dyDescent="0.3">
      <c r="A38" s="6" t="s">
        <v>32</v>
      </c>
      <c r="B38" s="5">
        <v>61097.106861769658</v>
      </c>
    </row>
    <row r="39" spans="1:2" x14ac:dyDescent="0.3">
      <c r="A39" s="4" t="s">
        <v>14</v>
      </c>
      <c r="B39" s="5">
        <v>726200.72854740417</v>
      </c>
    </row>
    <row r="40" spans="1:2" x14ac:dyDescent="0.3">
      <c r="A40" s="6" t="s">
        <v>21</v>
      </c>
      <c r="B40" s="5">
        <v>60417.466730304615</v>
      </c>
    </row>
    <row r="41" spans="1:2" x14ac:dyDescent="0.3">
      <c r="A41" s="6" t="s">
        <v>22</v>
      </c>
      <c r="B41" s="5">
        <v>60981.726142762491</v>
      </c>
    </row>
    <row r="42" spans="1:2" x14ac:dyDescent="0.3">
      <c r="A42" s="6" t="s">
        <v>23</v>
      </c>
      <c r="B42" s="5">
        <v>62004.996985344587</v>
      </c>
    </row>
    <row r="43" spans="1:2" x14ac:dyDescent="0.3">
      <c r="A43" s="6" t="s">
        <v>24</v>
      </c>
      <c r="B43" s="5">
        <v>62770.013969513144</v>
      </c>
    </row>
    <row r="44" spans="1:2" x14ac:dyDescent="0.3">
      <c r="A44" s="6" t="s">
        <v>25</v>
      </c>
      <c r="B44" s="5">
        <v>63150.560677474161</v>
      </c>
    </row>
    <row r="45" spans="1:2" x14ac:dyDescent="0.3">
      <c r="A45" s="6" t="s">
        <v>26</v>
      </c>
      <c r="B45" s="5">
        <v>61474.978372654907</v>
      </c>
    </row>
    <row r="46" spans="1:2" x14ac:dyDescent="0.3">
      <c r="A46" s="6" t="s">
        <v>27</v>
      </c>
      <c r="B46" s="5">
        <v>61156.198457782266</v>
      </c>
    </row>
    <row r="47" spans="1:2" x14ac:dyDescent="0.3">
      <c r="A47" s="6" t="s">
        <v>28</v>
      </c>
      <c r="B47" s="5">
        <v>59674.705660974265</v>
      </c>
    </row>
    <row r="48" spans="1:2" x14ac:dyDescent="0.3">
      <c r="A48" s="6" t="s">
        <v>29</v>
      </c>
      <c r="B48" s="5">
        <v>59095.701117381424</v>
      </c>
    </row>
    <row r="49" spans="1:2" x14ac:dyDescent="0.3">
      <c r="A49" s="6" t="s">
        <v>30</v>
      </c>
      <c r="B49" s="5">
        <v>59197.055595697311</v>
      </c>
    </row>
    <row r="50" spans="1:2" x14ac:dyDescent="0.3">
      <c r="A50" s="6" t="s">
        <v>31</v>
      </c>
      <c r="B50" s="5">
        <v>58465.357038118302</v>
      </c>
    </row>
    <row r="51" spans="1:2" x14ac:dyDescent="0.3">
      <c r="A51" s="6" t="s">
        <v>32</v>
      </c>
      <c r="B51" s="5">
        <v>57811.967799396676</v>
      </c>
    </row>
    <row r="52" spans="1:2" x14ac:dyDescent="0.3">
      <c r="A52" s="4" t="s">
        <v>15</v>
      </c>
      <c r="B52" s="5">
        <v>712640.05702550639</v>
      </c>
    </row>
    <row r="53" spans="1:2" x14ac:dyDescent="0.3">
      <c r="A53" s="6" t="s">
        <v>21</v>
      </c>
      <c r="B53" s="5">
        <v>57585.213272262023</v>
      </c>
    </row>
    <row r="54" spans="1:2" x14ac:dyDescent="0.3">
      <c r="A54" s="6" t="s">
        <v>22</v>
      </c>
      <c r="B54" s="5">
        <v>57627.294077694853</v>
      </c>
    </row>
    <row r="55" spans="1:2" x14ac:dyDescent="0.3">
      <c r="A55" s="6" t="s">
        <v>23</v>
      </c>
      <c r="B55" s="5">
        <v>59591.1746696673</v>
      </c>
    </row>
    <row r="56" spans="1:2" x14ac:dyDescent="0.3">
      <c r="A56" s="6" t="s">
        <v>24</v>
      </c>
      <c r="B56" s="5">
        <v>58763.723256656012</v>
      </c>
    </row>
    <row r="57" spans="1:2" x14ac:dyDescent="0.3">
      <c r="A57" s="6" t="s">
        <v>25</v>
      </c>
      <c r="B57" s="5">
        <v>59764.806169534386</v>
      </c>
    </row>
    <row r="58" spans="1:2" x14ac:dyDescent="0.3">
      <c r="A58" s="6" t="s">
        <v>26</v>
      </c>
      <c r="B58" s="5">
        <v>60865.889065245952</v>
      </c>
    </row>
    <row r="59" spans="1:2" x14ac:dyDescent="0.3">
      <c r="A59" s="6" t="s">
        <v>27</v>
      </c>
      <c r="B59" s="5">
        <v>60745.431066639649</v>
      </c>
    </row>
    <row r="60" spans="1:2" x14ac:dyDescent="0.3">
      <c r="A60" s="6" t="s">
        <v>28</v>
      </c>
      <c r="B60" s="5">
        <v>60802.520613603498</v>
      </c>
    </row>
    <row r="61" spans="1:2" x14ac:dyDescent="0.3">
      <c r="A61" s="6" t="s">
        <v>29</v>
      </c>
      <c r="B61" s="5">
        <v>60516.331898691329</v>
      </c>
    </row>
    <row r="62" spans="1:2" x14ac:dyDescent="0.3">
      <c r="A62" s="6" t="s">
        <v>30</v>
      </c>
      <c r="B62" s="5">
        <v>60161.479384270424</v>
      </c>
    </row>
    <row r="63" spans="1:2" x14ac:dyDescent="0.3">
      <c r="A63" s="6" t="s">
        <v>31</v>
      </c>
      <c r="B63" s="5">
        <v>58752.722578397348</v>
      </c>
    </row>
    <row r="64" spans="1:2" x14ac:dyDescent="0.3">
      <c r="A64" s="6" t="s">
        <v>32</v>
      </c>
      <c r="B64" s="5">
        <v>57463.470972843621</v>
      </c>
    </row>
    <row r="65" spans="1:2" x14ac:dyDescent="0.3">
      <c r="A65" s="4" t="s">
        <v>16</v>
      </c>
      <c r="B65" s="5">
        <v>769007.56803160184</v>
      </c>
    </row>
    <row r="66" spans="1:2" x14ac:dyDescent="0.3">
      <c r="A66" s="6" t="s">
        <v>21</v>
      </c>
      <c r="B66" s="5">
        <v>58164.890608709386</v>
      </c>
    </row>
    <row r="67" spans="1:2" x14ac:dyDescent="0.3">
      <c r="A67" s="6" t="s">
        <v>22</v>
      </c>
      <c r="B67" s="5">
        <v>59807.139326269244</v>
      </c>
    </row>
    <row r="68" spans="1:2" x14ac:dyDescent="0.3">
      <c r="A68" s="6" t="s">
        <v>23</v>
      </c>
      <c r="B68" s="5">
        <v>62813.490991282451</v>
      </c>
    </row>
    <row r="69" spans="1:2" x14ac:dyDescent="0.3">
      <c r="A69" s="6" t="s">
        <v>24</v>
      </c>
      <c r="B69" s="5">
        <v>65122.956396443078</v>
      </c>
    </row>
    <row r="70" spans="1:2" x14ac:dyDescent="0.3">
      <c r="A70" s="6" t="s">
        <v>25</v>
      </c>
      <c r="B70" s="5">
        <v>65460.657881798354</v>
      </c>
    </row>
    <row r="71" spans="1:2" x14ac:dyDescent="0.3">
      <c r="A71" s="6" t="s">
        <v>26</v>
      </c>
      <c r="B71" s="5">
        <v>66039.572062284948</v>
      </c>
    </row>
    <row r="72" spans="1:2" x14ac:dyDescent="0.3">
      <c r="A72" s="6" t="s">
        <v>27</v>
      </c>
      <c r="B72" s="5">
        <v>65171.508726577646</v>
      </c>
    </row>
    <row r="73" spans="1:2" x14ac:dyDescent="0.3">
      <c r="A73" s="6" t="s">
        <v>28</v>
      </c>
      <c r="B73" s="5">
        <v>64434.225885886408</v>
      </c>
    </row>
    <row r="74" spans="1:2" x14ac:dyDescent="0.3">
      <c r="A74" s="6" t="s">
        <v>29</v>
      </c>
      <c r="B74" s="5">
        <v>64825.989134431271</v>
      </c>
    </row>
    <row r="75" spans="1:2" x14ac:dyDescent="0.3">
      <c r="A75" s="6" t="s">
        <v>30</v>
      </c>
      <c r="B75" s="5">
        <v>65976.448481038737</v>
      </c>
    </row>
    <row r="76" spans="1:2" x14ac:dyDescent="0.3">
      <c r="A76" s="6" t="s">
        <v>31</v>
      </c>
      <c r="B76" s="5">
        <v>65850.803173314227</v>
      </c>
    </row>
    <row r="77" spans="1:2" x14ac:dyDescent="0.3">
      <c r="A77" s="6" t="s">
        <v>32</v>
      </c>
      <c r="B77" s="5">
        <v>65339.885363566063</v>
      </c>
    </row>
    <row r="78" spans="1:2" x14ac:dyDescent="0.3">
      <c r="A78" s="4" t="s">
        <v>17</v>
      </c>
      <c r="B78" s="5">
        <v>1107000.8925314082</v>
      </c>
    </row>
    <row r="79" spans="1:2" x14ac:dyDescent="0.3">
      <c r="A79" s="6" t="s">
        <v>21</v>
      </c>
      <c r="B79" s="5">
        <v>68715.808524059394</v>
      </c>
    </row>
    <row r="80" spans="1:2" x14ac:dyDescent="0.3">
      <c r="A80" s="6" t="s">
        <v>22</v>
      </c>
      <c r="B80" s="5">
        <v>73262.531738353457</v>
      </c>
    </row>
    <row r="81" spans="1:2" x14ac:dyDescent="0.3">
      <c r="A81" s="6" t="s">
        <v>23</v>
      </c>
      <c r="B81" s="5">
        <v>78819.793691196595</v>
      </c>
    </row>
    <row r="82" spans="1:2" x14ac:dyDescent="0.3">
      <c r="A82" s="6" t="s">
        <v>24</v>
      </c>
      <c r="B82" s="5">
        <v>89041.060977786168</v>
      </c>
    </row>
    <row r="83" spans="1:2" x14ac:dyDescent="0.3">
      <c r="A83" s="6" t="s">
        <v>25</v>
      </c>
      <c r="B83" s="5">
        <v>94573.432673915871</v>
      </c>
    </row>
    <row r="84" spans="1:2" x14ac:dyDescent="0.3">
      <c r="A84" s="6" t="s">
        <v>26</v>
      </c>
      <c r="B84" s="5">
        <v>99516.171301631606</v>
      </c>
    </row>
    <row r="85" spans="1:2" x14ac:dyDescent="0.3">
      <c r="A85" s="6" t="s">
        <v>27</v>
      </c>
      <c r="B85" s="5">
        <v>97494.065003637472</v>
      </c>
    </row>
    <row r="86" spans="1:2" x14ac:dyDescent="0.3">
      <c r="A86" s="6" t="s">
        <v>28</v>
      </c>
      <c r="B86" s="5">
        <v>93594.778497401407</v>
      </c>
    </row>
    <row r="87" spans="1:2" x14ac:dyDescent="0.3">
      <c r="A87" s="6" t="s">
        <v>29</v>
      </c>
      <c r="B87" s="5">
        <v>100872.27824207052</v>
      </c>
    </row>
    <row r="88" spans="1:2" x14ac:dyDescent="0.3">
      <c r="A88" s="6" t="s">
        <v>30</v>
      </c>
      <c r="B88" s="5">
        <v>107794.38582557965</v>
      </c>
    </row>
    <row r="89" spans="1:2" x14ac:dyDescent="0.3">
      <c r="A89" s="6" t="s">
        <v>31</v>
      </c>
      <c r="B89" s="5">
        <v>104882.07769414112</v>
      </c>
    </row>
    <row r="90" spans="1:2" x14ac:dyDescent="0.3">
      <c r="A90" s="6" t="s">
        <v>32</v>
      </c>
      <c r="B90" s="5">
        <v>98434.508361635046</v>
      </c>
    </row>
    <row r="91" spans="1:2" x14ac:dyDescent="0.3">
      <c r="A91" s="4" t="s">
        <v>18</v>
      </c>
      <c r="B91" s="5">
        <v>1295372.9949092637</v>
      </c>
    </row>
    <row r="92" spans="1:2" x14ac:dyDescent="0.3">
      <c r="A92" s="6" t="s">
        <v>21</v>
      </c>
      <c r="B92" s="5">
        <v>98113.071737649298</v>
      </c>
    </row>
    <row r="93" spans="1:2" x14ac:dyDescent="0.3">
      <c r="A93" s="6" t="s">
        <v>22</v>
      </c>
      <c r="B93" s="5">
        <v>100213.49672371926</v>
      </c>
    </row>
    <row r="94" spans="1:2" x14ac:dyDescent="0.3">
      <c r="A94" s="6" t="s">
        <v>23</v>
      </c>
      <c r="B94" s="5">
        <v>104936.47630515731</v>
      </c>
    </row>
    <row r="95" spans="1:2" x14ac:dyDescent="0.3">
      <c r="A95" s="6" t="s">
        <v>24</v>
      </c>
      <c r="B95" s="5">
        <v>104299.23632553978</v>
      </c>
    </row>
    <row r="96" spans="1:2" x14ac:dyDescent="0.3">
      <c r="A96" s="6" t="s">
        <v>25</v>
      </c>
      <c r="B96" s="5">
        <v>107436.48989983881</v>
      </c>
    </row>
    <row r="97" spans="1:2" x14ac:dyDescent="0.3">
      <c r="A97" s="6" t="s">
        <v>26</v>
      </c>
      <c r="B97" s="5">
        <v>111171.10488708808</v>
      </c>
    </row>
    <row r="98" spans="1:2" x14ac:dyDescent="0.3">
      <c r="A98" s="6" t="s">
        <v>27</v>
      </c>
      <c r="B98" s="5">
        <v>111326.94158513924</v>
      </c>
    </row>
    <row r="99" spans="1:2" x14ac:dyDescent="0.3">
      <c r="A99" s="6" t="s">
        <v>28</v>
      </c>
      <c r="B99" s="5">
        <v>112627.23030974463</v>
      </c>
    </row>
    <row r="100" spans="1:2" x14ac:dyDescent="0.3">
      <c r="A100" s="6" t="s">
        <v>29</v>
      </c>
      <c r="B100" s="5">
        <v>112523.44222853388</v>
      </c>
    </row>
    <row r="101" spans="1:2" x14ac:dyDescent="0.3">
      <c r="A101" s="6" t="s">
        <v>30</v>
      </c>
      <c r="B101" s="5">
        <v>115626.49883560264</v>
      </c>
    </row>
    <row r="102" spans="1:2" x14ac:dyDescent="0.3">
      <c r="A102" s="6" t="s">
        <v>31</v>
      </c>
      <c r="B102" s="5">
        <v>112681.30714445403</v>
      </c>
    </row>
    <row r="103" spans="1:2" x14ac:dyDescent="0.3">
      <c r="A103" s="6" t="s">
        <v>32</v>
      </c>
      <c r="B103" s="5">
        <v>104417.69892679692</v>
      </c>
    </row>
    <row r="104" spans="1:2" x14ac:dyDescent="0.3">
      <c r="A104" s="4" t="s">
        <v>19</v>
      </c>
      <c r="B104" s="5">
        <v>1083780.7091590618</v>
      </c>
    </row>
    <row r="105" spans="1:2" x14ac:dyDescent="0.3">
      <c r="A105" s="6" t="s">
        <v>21</v>
      </c>
      <c r="B105" s="5">
        <v>103484.99445628484</v>
      </c>
    </row>
    <row r="106" spans="1:2" x14ac:dyDescent="0.3">
      <c r="A106" s="6" t="s">
        <v>22</v>
      </c>
      <c r="B106" s="5">
        <v>106045.07332907396</v>
      </c>
    </row>
    <row r="107" spans="1:2" x14ac:dyDescent="0.3">
      <c r="A107" s="6" t="s">
        <v>23</v>
      </c>
      <c r="B107" s="5">
        <v>108546.89899879831</v>
      </c>
    </row>
    <row r="108" spans="1:2" x14ac:dyDescent="0.3">
      <c r="A108" s="6" t="s">
        <v>24</v>
      </c>
      <c r="B108" s="5">
        <v>111355.6271250025</v>
      </c>
    </row>
    <row r="109" spans="1:2" x14ac:dyDescent="0.3">
      <c r="A109" s="6" t="s">
        <v>25</v>
      </c>
      <c r="B109" s="5">
        <v>114863.69750922277</v>
      </c>
    </row>
    <row r="110" spans="1:2" x14ac:dyDescent="0.3">
      <c r="A110" s="6" t="s">
        <v>26</v>
      </c>
      <c r="B110" s="5">
        <v>113996.6970918689</v>
      </c>
    </row>
    <row r="111" spans="1:2" x14ac:dyDescent="0.3">
      <c r="A111" s="6" t="s">
        <v>27</v>
      </c>
      <c r="B111" s="5">
        <v>111607.18353132796</v>
      </c>
    </row>
    <row r="112" spans="1:2" x14ac:dyDescent="0.3">
      <c r="A112" s="6" t="s">
        <v>28</v>
      </c>
      <c r="B112" s="5">
        <v>106579.5293367251</v>
      </c>
    </row>
    <row r="113" spans="1:2" x14ac:dyDescent="0.3">
      <c r="A113" s="6" t="s">
        <v>29</v>
      </c>
      <c r="B113" s="5">
        <v>102487.65257514779</v>
      </c>
    </row>
    <row r="114" spans="1:2" x14ac:dyDescent="0.3">
      <c r="A114" s="6" t="s">
        <v>30</v>
      </c>
      <c r="B114" s="5">
        <v>104813.35520560961</v>
      </c>
    </row>
    <row r="115" spans="1:2" x14ac:dyDescent="0.3">
      <c r="A115" s="4" t="s">
        <v>8</v>
      </c>
      <c r="B115" s="5">
        <v>7363779.8027972039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2A032-725D-48A8-B5D0-FDE7370D47F6}">
  <dimension ref="A3:B115"/>
  <sheetViews>
    <sheetView topLeftCell="A4" workbookViewId="0">
      <selection activeCell="C14" sqref="C14"/>
    </sheetView>
  </sheetViews>
  <sheetFormatPr defaultRowHeight="14.4" x14ac:dyDescent="0.3"/>
  <cols>
    <col min="1" max="1" width="12.44140625" bestFit="1" customWidth="1"/>
    <col min="2" max="2" width="27" bestFit="1" customWidth="1"/>
    <col min="3" max="3" width="27.33203125" bestFit="1" customWidth="1"/>
    <col min="4" max="16" width="12" bestFit="1" customWidth="1"/>
    <col min="17" max="17" width="11" bestFit="1" customWidth="1"/>
    <col min="18" max="23" width="12" bestFit="1" customWidth="1"/>
    <col min="24" max="24" width="10" bestFit="1" customWidth="1"/>
    <col min="25" max="40" width="12" bestFit="1" customWidth="1"/>
    <col min="41" max="41" width="11" bestFit="1" customWidth="1"/>
    <col min="42" max="42" width="12" bestFit="1" customWidth="1"/>
    <col min="43" max="43" width="11" bestFit="1" customWidth="1"/>
    <col min="44" max="51" width="12" bestFit="1" customWidth="1"/>
    <col min="52" max="52" width="11" bestFit="1" customWidth="1"/>
    <col min="53" max="58" width="12" bestFit="1" customWidth="1"/>
    <col min="59" max="59" width="11" bestFit="1" customWidth="1"/>
    <col min="60" max="72" width="12" bestFit="1" customWidth="1"/>
    <col min="73" max="73" width="11" bestFit="1" customWidth="1"/>
    <col min="74" max="74" width="10" bestFit="1" customWidth="1"/>
    <col min="75" max="75" width="11" bestFit="1" customWidth="1"/>
    <col min="76" max="93" width="12" bestFit="1" customWidth="1"/>
    <col min="94" max="94" width="11" bestFit="1" customWidth="1"/>
    <col min="95" max="101" width="12" bestFit="1" customWidth="1"/>
    <col min="102" max="102" width="7" bestFit="1" customWidth="1"/>
    <col min="103" max="103" width="12" bestFit="1" customWidth="1"/>
  </cols>
  <sheetData>
    <row r="3" spans="1:2" x14ac:dyDescent="0.3">
      <c r="A3" s="3" t="s">
        <v>9</v>
      </c>
      <c r="B3" t="s">
        <v>33</v>
      </c>
    </row>
    <row r="4" spans="1:2" x14ac:dyDescent="0.3">
      <c r="A4" s="4" t="s">
        <v>10</v>
      </c>
      <c r="B4" s="5"/>
    </row>
    <row r="5" spans="1:2" x14ac:dyDescent="0.3">
      <c r="A5" s="6" t="s">
        <v>10</v>
      </c>
      <c r="B5" s="5"/>
    </row>
    <row r="6" spans="1:2" x14ac:dyDescent="0.3">
      <c r="A6" s="4" t="s">
        <v>11</v>
      </c>
      <c r="B6" s="5" t="e">
        <v>#DIV/0!</v>
      </c>
    </row>
    <row r="7" spans="1:2" x14ac:dyDescent="0.3">
      <c r="A7" s="6" t="s">
        <v>27</v>
      </c>
      <c r="B7" s="5" t="e">
        <v>#DIV/0!</v>
      </c>
    </row>
    <row r="8" spans="1:2" x14ac:dyDescent="0.3">
      <c r="A8" s="6" t="s">
        <v>28</v>
      </c>
      <c r="B8" s="5" t="e">
        <v>#DIV/0!</v>
      </c>
    </row>
    <row r="9" spans="1:2" x14ac:dyDescent="0.3">
      <c r="A9" s="6" t="s">
        <v>29</v>
      </c>
      <c r="B9" s="5" t="e">
        <v>#DIV/0!</v>
      </c>
    </row>
    <row r="10" spans="1:2" x14ac:dyDescent="0.3">
      <c r="A10" s="6" t="s">
        <v>30</v>
      </c>
      <c r="B10" s="5" t="e">
        <v>#DIV/0!</v>
      </c>
    </row>
    <row r="11" spans="1:2" x14ac:dyDescent="0.3">
      <c r="A11" s="6" t="s">
        <v>31</v>
      </c>
      <c r="B11" s="5" t="e">
        <v>#DIV/0!</v>
      </c>
    </row>
    <row r="12" spans="1:2" x14ac:dyDescent="0.3">
      <c r="A12" s="6" t="s">
        <v>32</v>
      </c>
      <c r="B12" s="5" t="e">
        <v>#DIV/0!</v>
      </c>
    </row>
    <row r="13" spans="1:2" x14ac:dyDescent="0.3">
      <c r="A13" s="4" t="s">
        <v>12</v>
      </c>
      <c r="B13" s="5" t="e">
        <v>#DIV/0!</v>
      </c>
    </row>
    <row r="14" spans="1:2" x14ac:dyDescent="0.3">
      <c r="A14" s="6" t="s">
        <v>21</v>
      </c>
      <c r="B14" s="5" t="e">
        <v>#DIV/0!</v>
      </c>
    </row>
    <row r="15" spans="1:2" x14ac:dyDescent="0.3">
      <c r="A15" s="6" t="s">
        <v>22</v>
      </c>
      <c r="B15" s="5" t="e">
        <v>#DIV/0!</v>
      </c>
    </row>
    <row r="16" spans="1:2" x14ac:dyDescent="0.3">
      <c r="A16" s="6" t="s">
        <v>23</v>
      </c>
      <c r="B16" s="5" t="e">
        <v>#DIV/0!</v>
      </c>
    </row>
    <row r="17" spans="1:2" x14ac:dyDescent="0.3">
      <c r="A17" s="6" t="s">
        <v>24</v>
      </c>
      <c r="B17" s="5" t="e">
        <v>#DIV/0!</v>
      </c>
    </row>
    <row r="18" spans="1:2" x14ac:dyDescent="0.3">
      <c r="A18" s="6" t="s">
        <v>25</v>
      </c>
      <c r="B18" s="5" t="e">
        <v>#DIV/0!</v>
      </c>
    </row>
    <row r="19" spans="1:2" x14ac:dyDescent="0.3">
      <c r="A19" s="6" t="s">
        <v>26</v>
      </c>
      <c r="B19" s="5" t="e">
        <v>#DIV/0!</v>
      </c>
    </row>
    <row r="20" spans="1:2" x14ac:dyDescent="0.3">
      <c r="A20" s="6" t="s">
        <v>27</v>
      </c>
      <c r="B20" s="5">
        <v>0.12669860668274893</v>
      </c>
    </row>
    <row r="21" spans="1:2" x14ac:dyDescent="0.3">
      <c r="A21" s="6" t="s">
        <v>28</v>
      </c>
      <c r="B21" s="5">
        <v>0.1173253612796679</v>
      </c>
    </row>
    <row r="22" spans="1:2" x14ac:dyDescent="0.3">
      <c r="A22" s="6" t="s">
        <v>29</v>
      </c>
      <c r="B22" s="5">
        <v>0.10720499103771967</v>
      </c>
    </row>
    <row r="23" spans="1:2" x14ac:dyDescent="0.3">
      <c r="A23" s="6" t="s">
        <v>30</v>
      </c>
      <c r="B23" s="5">
        <v>0.11603310958325586</v>
      </c>
    </row>
    <row r="24" spans="1:2" x14ac:dyDescent="0.3">
      <c r="A24" s="6" t="s">
        <v>31</v>
      </c>
      <c r="B24" s="5">
        <v>9.1291364830584282E-2</v>
      </c>
    </row>
    <row r="25" spans="1:2" x14ac:dyDescent="0.3">
      <c r="A25" s="6" t="s">
        <v>32</v>
      </c>
      <c r="B25" s="5">
        <v>4.5628532055311297E-2</v>
      </c>
    </row>
    <row r="26" spans="1:2" x14ac:dyDescent="0.3">
      <c r="A26" s="4" t="s">
        <v>13</v>
      </c>
      <c r="B26" s="5">
        <v>0.13197274100989131</v>
      </c>
    </row>
    <row r="27" spans="1:2" x14ac:dyDescent="0.3">
      <c r="A27" s="6" t="s">
        <v>21</v>
      </c>
      <c r="B27" s="5">
        <v>6.014853152139623E-2</v>
      </c>
    </row>
    <row r="28" spans="1:2" x14ac:dyDescent="0.3">
      <c r="A28" s="6" t="s">
        <v>22</v>
      </c>
      <c r="B28" s="5">
        <v>8.8821714622657477E-2</v>
      </c>
    </row>
    <row r="29" spans="1:2" x14ac:dyDescent="0.3">
      <c r="A29" s="6" t="s">
        <v>23</v>
      </c>
      <c r="B29" s="5">
        <v>9.7545158352643907E-2</v>
      </c>
    </row>
    <row r="30" spans="1:2" x14ac:dyDescent="0.3">
      <c r="A30" s="6" t="s">
        <v>24</v>
      </c>
      <c r="B30" s="5">
        <v>0.12929287157483763</v>
      </c>
    </row>
    <row r="31" spans="1:2" x14ac:dyDescent="0.3">
      <c r="A31" s="6" t="s">
        <v>25</v>
      </c>
      <c r="B31" s="5">
        <v>0.13520980892271345</v>
      </c>
    </row>
    <row r="32" spans="1:2" x14ac:dyDescent="0.3">
      <c r="A32" s="6" t="s">
        <v>26</v>
      </c>
      <c r="B32" s="5">
        <v>0.14176163499760749</v>
      </c>
    </row>
    <row r="33" spans="1:2" x14ac:dyDescent="0.3">
      <c r="A33" s="6" t="s">
        <v>27</v>
      </c>
      <c r="B33" s="5">
        <v>0.1284798410420406</v>
      </c>
    </row>
    <row r="34" spans="1:2" x14ac:dyDescent="0.3">
      <c r="A34" s="6" t="s">
        <v>28</v>
      </c>
      <c r="B34" s="5">
        <v>0.15131902960219001</v>
      </c>
    </row>
    <row r="35" spans="1:2" x14ac:dyDescent="0.3">
      <c r="A35" s="6" t="s">
        <v>29</v>
      </c>
      <c r="B35" s="5">
        <v>0.16544167132275681</v>
      </c>
    </row>
    <row r="36" spans="1:2" x14ac:dyDescent="0.3">
      <c r="A36" s="6" t="s">
        <v>30</v>
      </c>
      <c r="B36" s="5">
        <v>0.1704476824318403</v>
      </c>
    </row>
    <row r="37" spans="1:2" x14ac:dyDescent="0.3">
      <c r="A37" s="6" t="s">
        <v>31</v>
      </c>
      <c r="B37" s="5">
        <v>0.17248493743341914</v>
      </c>
    </row>
    <row r="38" spans="1:2" x14ac:dyDescent="0.3">
      <c r="A38" s="6" t="s">
        <v>32</v>
      </c>
      <c r="B38" s="5">
        <v>0.14272001029459236</v>
      </c>
    </row>
    <row r="39" spans="1:2" x14ac:dyDescent="0.3">
      <c r="A39" s="4" t="s">
        <v>14</v>
      </c>
      <c r="B39" s="5">
        <v>-3.4625383685707614E-3</v>
      </c>
    </row>
    <row r="40" spans="1:2" x14ac:dyDescent="0.3">
      <c r="A40" s="6" t="s">
        <v>21</v>
      </c>
      <c r="B40" s="5">
        <v>0.11259499584962587</v>
      </c>
    </row>
    <row r="41" spans="1:2" x14ac:dyDescent="0.3">
      <c r="A41" s="6" t="s">
        <v>22</v>
      </c>
      <c r="B41" s="5">
        <v>7.252700388350547E-2</v>
      </c>
    </row>
    <row r="42" spans="1:2" x14ac:dyDescent="0.3">
      <c r="A42" s="6" t="s">
        <v>23</v>
      </c>
      <c r="B42" s="5">
        <v>4.875330315503125E-2</v>
      </c>
    </row>
    <row r="43" spans="1:2" x14ac:dyDescent="0.3">
      <c r="A43" s="6" t="s">
        <v>24</v>
      </c>
      <c r="B43" s="5">
        <v>2.9605368737253258E-2</v>
      </c>
    </row>
    <row r="44" spans="1:2" x14ac:dyDescent="0.3">
      <c r="A44" s="6" t="s">
        <v>25</v>
      </c>
      <c r="B44" s="5">
        <v>1.1130885967427725E-2</v>
      </c>
    </row>
    <row r="45" spans="1:2" x14ac:dyDescent="0.3">
      <c r="A45" s="6" t="s">
        <v>26</v>
      </c>
      <c r="B45" s="5">
        <v>-1.5396941112440315E-2</v>
      </c>
    </row>
    <row r="46" spans="1:2" x14ac:dyDescent="0.3">
      <c r="A46" s="6" t="s">
        <v>27</v>
      </c>
      <c r="B46" s="5">
        <v>-1.5203050936080266E-2</v>
      </c>
    </row>
    <row r="47" spans="1:2" x14ac:dyDescent="0.3">
      <c r="A47" s="6" t="s">
        <v>28</v>
      </c>
      <c r="B47" s="5">
        <v>-3.8622941049887803E-2</v>
      </c>
    </row>
    <row r="48" spans="1:2" x14ac:dyDescent="0.3">
      <c r="A48" s="6" t="s">
        <v>29</v>
      </c>
      <c r="B48" s="5">
        <v>-5.2452614529208623E-2</v>
      </c>
    </row>
    <row r="49" spans="1:2" x14ac:dyDescent="0.3">
      <c r="A49" s="6" t="s">
        <v>30</v>
      </c>
      <c r="B49" s="5">
        <v>-6.3298957742740483E-2</v>
      </c>
    </row>
    <row r="50" spans="1:2" x14ac:dyDescent="0.3">
      <c r="A50" s="6" t="s">
        <v>31</v>
      </c>
      <c r="B50" s="5">
        <v>-7.7418369864065584E-2</v>
      </c>
    </row>
    <row r="51" spans="1:2" x14ac:dyDescent="0.3">
      <c r="A51" s="6" t="s">
        <v>32</v>
      </c>
      <c r="B51" s="5">
        <v>-5.3769142781269645E-2</v>
      </c>
    </row>
    <row r="52" spans="1:2" x14ac:dyDescent="0.3">
      <c r="A52" s="4" t="s">
        <v>15</v>
      </c>
      <c r="B52" s="5">
        <v>-1.8063381573650929E-2</v>
      </c>
    </row>
    <row r="53" spans="1:2" x14ac:dyDescent="0.3">
      <c r="A53" s="6" t="s">
        <v>21</v>
      </c>
      <c r="B53" s="5">
        <v>-4.6878057146708722E-2</v>
      </c>
    </row>
    <row r="54" spans="1:2" x14ac:dyDescent="0.3">
      <c r="A54" s="6" t="s">
        <v>22</v>
      </c>
      <c r="B54" s="5">
        <v>-5.5007168167307656E-2</v>
      </c>
    </row>
    <row r="55" spans="1:2" x14ac:dyDescent="0.3">
      <c r="A55" s="6" t="s">
        <v>23</v>
      </c>
      <c r="B55" s="5">
        <v>-3.8929480413454662E-2</v>
      </c>
    </row>
    <row r="56" spans="1:2" x14ac:dyDescent="0.3">
      <c r="A56" s="6" t="s">
        <v>24</v>
      </c>
      <c r="B56" s="5">
        <v>-6.3824913513687478E-2</v>
      </c>
    </row>
    <row r="57" spans="1:2" x14ac:dyDescent="0.3">
      <c r="A57" s="6" t="s">
        <v>25</v>
      </c>
      <c r="B57" s="5">
        <v>-5.361400550711936E-2</v>
      </c>
    </row>
    <row r="58" spans="1:2" x14ac:dyDescent="0.3">
      <c r="A58" s="6" t="s">
        <v>26</v>
      </c>
      <c r="B58" s="5">
        <v>-9.9079222723222216E-3</v>
      </c>
    </row>
    <row r="59" spans="1:2" x14ac:dyDescent="0.3">
      <c r="A59" s="6" t="s">
        <v>27</v>
      </c>
      <c r="B59" s="5">
        <v>-6.7166926902132544E-3</v>
      </c>
    </row>
    <row r="60" spans="1:2" x14ac:dyDescent="0.3">
      <c r="A60" s="6" t="s">
        <v>28</v>
      </c>
      <c r="B60" s="5">
        <v>1.889938023383993E-2</v>
      </c>
    </row>
    <row r="61" spans="1:2" x14ac:dyDescent="0.3">
      <c r="A61" s="6" t="s">
        <v>29</v>
      </c>
      <c r="B61" s="5">
        <v>2.4039494488577343E-2</v>
      </c>
    </row>
    <row r="62" spans="1:2" x14ac:dyDescent="0.3">
      <c r="A62" s="6" t="s">
        <v>30</v>
      </c>
      <c r="B62" s="5">
        <v>1.6291752670266443E-2</v>
      </c>
    </row>
    <row r="63" spans="1:2" x14ac:dyDescent="0.3">
      <c r="A63" s="6" t="s">
        <v>31</v>
      </c>
      <c r="B63" s="5">
        <v>4.9151421429221671E-3</v>
      </c>
    </row>
    <row r="64" spans="1:2" x14ac:dyDescent="0.3">
      <c r="A64" s="6" t="s">
        <v>32</v>
      </c>
      <c r="B64" s="5">
        <v>-6.0281087086036201E-3</v>
      </c>
    </row>
    <row r="65" spans="1:2" x14ac:dyDescent="0.3">
      <c r="A65" s="4" t="s">
        <v>16</v>
      </c>
      <c r="B65" s="5">
        <v>7.9069464773176321E-2</v>
      </c>
    </row>
    <row r="66" spans="1:2" x14ac:dyDescent="0.3">
      <c r="A66" s="6" t="s">
        <v>21</v>
      </c>
      <c r="B66" s="5">
        <v>1.0066426839589134E-2</v>
      </c>
    </row>
    <row r="67" spans="1:2" x14ac:dyDescent="0.3">
      <c r="A67" s="6" t="s">
        <v>22</v>
      </c>
      <c r="B67" s="5">
        <v>3.7826611217168342E-2</v>
      </c>
    </row>
    <row r="68" spans="1:2" x14ac:dyDescent="0.3">
      <c r="A68" s="6" t="s">
        <v>23</v>
      </c>
      <c r="B68" s="5">
        <v>5.407371711461418E-2</v>
      </c>
    </row>
    <row r="69" spans="1:2" x14ac:dyDescent="0.3">
      <c r="A69" s="6" t="s">
        <v>24</v>
      </c>
      <c r="B69" s="5">
        <v>0.10821698808995688</v>
      </c>
    </row>
    <row r="70" spans="1:2" x14ac:dyDescent="0.3">
      <c r="A70" s="6" t="s">
        <v>25</v>
      </c>
      <c r="B70" s="5">
        <v>9.5304445497682813E-2</v>
      </c>
    </row>
    <row r="71" spans="1:2" x14ac:dyDescent="0.3">
      <c r="A71" s="6" t="s">
        <v>26</v>
      </c>
      <c r="B71" s="5">
        <v>8.5001354231316675E-2</v>
      </c>
    </row>
    <row r="72" spans="1:2" x14ac:dyDescent="0.3">
      <c r="A72" s="6" t="s">
        <v>27</v>
      </c>
      <c r="B72" s="5">
        <v>7.286272534772946E-2</v>
      </c>
    </row>
    <row r="73" spans="1:2" x14ac:dyDescent="0.3">
      <c r="A73" s="6" t="s">
        <v>28</v>
      </c>
      <c r="B73" s="5">
        <v>5.9729518375762534E-2</v>
      </c>
    </row>
    <row r="74" spans="1:2" x14ac:dyDescent="0.3">
      <c r="A74" s="6" t="s">
        <v>29</v>
      </c>
      <c r="B74" s="5">
        <v>7.1214779556609889E-2</v>
      </c>
    </row>
    <row r="75" spans="1:2" x14ac:dyDescent="0.3">
      <c r="A75" s="6" t="s">
        <v>30</v>
      </c>
      <c r="B75" s="5">
        <v>9.6656019038798294E-2</v>
      </c>
    </row>
    <row r="76" spans="1:2" x14ac:dyDescent="0.3">
      <c r="A76" s="6" t="s">
        <v>31</v>
      </c>
      <c r="B76" s="5">
        <v>0.12081279442744931</v>
      </c>
    </row>
    <row r="77" spans="1:2" x14ac:dyDescent="0.3">
      <c r="A77" s="6" t="s">
        <v>32</v>
      </c>
      <c r="B77" s="5">
        <v>0.13706819754143842</v>
      </c>
    </row>
    <row r="78" spans="1:2" x14ac:dyDescent="0.3">
      <c r="A78" s="4" t="s">
        <v>17</v>
      </c>
      <c r="B78" s="5">
        <v>0.43481287505433325</v>
      </c>
    </row>
    <row r="79" spans="1:2" x14ac:dyDescent="0.3">
      <c r="A79" s="6" t="s">
        <v>21</v>
      </c>
      <c r="B79" s="5">
        <v>0.18139667770251344</v>
      </c>
    </row>
    <row r="80" spans="1:2" x14ac:dyDescent="0.3">
      <c r="A80" s="6" t="s">
        <v>22</v>
      </c>
      <c r="B80" s="5">
        <v>0.22497970248468591</v>
      </c>
    </row>
    <row r="81" spans="1:2" x14ac:dyDescent="0.3">
      <c r="A81" s="6" t="s">
        <v>23</v>
      </c>
      <c r="B81" s="5">
        <v>0.25482268931901225</v>
      </c>
    </row>
    <row r="82" spans="1:2" x14ac:dyDescent="0.3">
      <c r="A82" s="6" t="s">
        <v>24</v>
      </c>
      <c r="B82" s="5">
        <v>0.36727608672645368</v>
      </c>
    </row>
    <row r="83" spans="1:2" x14ac:dyDescent="0.3">
      <c r="A83" s="6" t="s">
        <v>25</v>
      </c>
      <c r="B83" s="5">
        <v>0.44473697231528225</v>
      </c>
    </row>
    <row r="84" spans="1:2" x14ac:dyDescent="0.3">
      <c r="A84" s="6" t="s">
        <v>26</v>
      </c>
      <c r="B84" s="5">
        <v>0.50691726481469845</v>
      </c>
    </row>
    <row r="85" spans="1:2" x14ac:dyDescent="0.3">
      <c r="A85" s="6" t="s">
        <v>27</v>
      </c>
      <c r="B85" s="5">
        <v>0.49596145476187725</v>
      </c>
    </row>
    <row r="86" spans="1:2" x14ac:dyDescent="0.3">
      <c r="A86" s="6" t="s">
        <v>28</v>
      </c>
      <c r="B86" s="5">
        <v>0.45256309376880849</v>
      </c>
    </row>
    <row r="87" spans="1:2" x14ac:dyDescent="0.3">
      <c r="A87" s="6" t="s">
        <v>29</v>
      </c>
      <c r="B87" s="5">
        <v>0.55604688164324279</v>
      </c>
    </row>
    <row r="88" spans="1:2" x14ac:dyDescent="0.3">
      <c r="A88" s="6" t="s">
        <v>30</v>
      </c>
      <c r="B88" s="5">
        <v>0.63383128839617908</v>
      </c>
    </row>
    <row r="89" spans="1:2" x14ac:dyDescent="0.3">
      <c r="A89" s="6" t="s">
        <v>31</v>
      </c>
      <c r="B89" s="5">
        <v>0.59272283161223704</v>
      </c>
    </row>
    <row r="90" spans="1:2" x14ac:dyDescent="0.3">
      <c r="A90" s="6" t="s">
        <v>32</v>
      </c>
      <c r="B90" s="5">
        <v>0.50649955710700945</v>
      </c>
    </row>
    <row r="91" spans="1:2" x14ac:dyDescent="0.3">
      <c r="A91" s="4" t="s">
        <v>18</v>
      </c>
      <c r="B91" s="5">
        <v>0.18500449788626308</v>
      </c>
    </row>
    <row r="92" spans="1:2" x14ac:dyDescent="0.3">
      <c r="A92" s="6" t="s">
        <v>21</v>
      </c>
      <c r="B92" s="5">
        <v>0.42780931848159903</v>
      </c>
    </row>
    <row r="93" spans="1:2" x14ac:dyDescent="0.3">
      <c r="A93" s="6" t="s">
        <v>22</v>
      </c>
      <c r="B93" s="5">
        <v>0.36786832704085742</v>
      </c>
    </row>
    <row r="94" spans="1:2" x14ac:dyDescent="0.3">
      <c r="A94" s="6" t="s">
        <v>23</v>
      </c>
      <c r="B94" s="5">
        <v>0.33134675175986528</v>
      </c>
    </row>
    <row r="95" spans="1:2" x14ac:dyDescent="0.3">
      <c r="A95" s="6" t="s">
        <v>24</v>
      </c>
      <c r="B95" s="5">
        <v>0.17136111340317697</v>
      </c>
    </row>
    <row r="96" spans="1:2" x14ac:dyDescent="0.3">
      <c r="A96" s="6" t="s">
        <v>25</v>
      </c>
      <c r="B96" s="5">
        <v>0.1360113180016852</v>
      </c>
    </row>
    <row r="97" spans="1:2" x14ac:dyDescent="0.3">
      <c r="A97" s="6" t="s">
        <v>26</v>
      </c>
      <c r="B97" s="5">
        <v>0.11711597655953414</v>
      </c>
    </row>
    <row r="98" spans="1:2" x14ac:dyDescent="0.3">
      <c r="A98" s="6" t="s">
        <v>27</v>
      </c>
      <c r="B98" s="5">
        <v>0.14188429399251809</v>
      </c>
    </row>
    <row r="99" spans="1:2" x14ac:dyDescent="0.3">
      <c r="A99" s="6" t="s">
        <v>28</v>
      </c>
      <c r="B99" s="5">
        <v>0.20334950429816598</v>
      </c>
    </row>
    <row r="100" spans="1:2" x14ac:dyDescent="0.3">
      <c r="A100" s="6" t="s">
        <v>29</v>
      </c>
      <c r="B100" s="5">
        <v>0.11550412253506577</v>
      </c>
    </row>
    <row r="101" spans="1:2" x14ac:dyDescent="0.3">
      <c r="A101" s="6" t="s">
        <v>30</v>
      </c>
      <c r="B101" s="5">
        <v>7.265789354462307E-2</v>
      </c>
    </row>
    <row r="102" spans="1:2" x14ac:dyDescent="0.3">
      <c r="A102" s="6" t="s">
        <v>31</v>
      </c>
      <c r="B102" s="5">
        <v>7.4361889293012989E-2</v>
      </c>
    </row>
    <row r="103" spans="1:2" x14ac:dyDescent="0.3">
      <c r="A103" s="6" t="s">
        <v>32</v>
      </c>
      <c r="B103" s="5">
        <v>6.078346572505286E-2</v>
      </c>
    </row>
    <row r="104" spans="1:2" x14ac:dyDescent="0.3">
      <c r="A104" s="4" t="s">
        <v>19</v>
      </c>
      <c r="B104" s="5">
        <v>7.566705885078631E-3</v>
      </c>
    </row>
    <row r="105" spans="1:2" x14ac:dyDescent="0.3">
      <c r="A105" s="6" t="s">
        <v>21</v>
      </c>
      <c r="B105" s="5">
        <v>5.475236503653523E-2</v>
      </c>
    </row>
    <row r="106" spans="1:2" x14ac:dyDescent="0.3">
      <c r="A106" s="6" t="s">
        <v>22</v>
      </c>
      <c r="B106" s="5">
        <v>5.8191529045552581E-2</v>
      </c>
    </row>
    <row r="107" spans="1:2" x14ac:dyDescent="0.3">
      <c r="A107" s="6" t="s">
        <v>23</v>
      </c>
      <c r="B107" s="5">
        <v>3.4405793111842428E-2</v>
      </c>
    </row>
    <row r="108" spans="1:2" x14ac:dyDescent="0.3">
      <c r="A108" s="6" t="s">
        <v>24</v>
      </c>
      <c r="B108" s="5">
        <v>6.7655248955402203E-2</v>
      </c>
    </row>
    <row r="109" spans="1:2" x14ac:dyDescent="0.3">
      <c r="A109" s="6" t="s">
        <v>25</v>
      </c>
      <c r="B109" s="5">
        <v>6.9131145445166853E-2</v>
      </c>
    </row>
    <row r="110" spans="1:2" x14ac:dyDescent="0.3">
      <c r="A110" s="6" t="s">
        <v>26</v>
      </c>
      <c r="B110" s="5">
        <v>2.5416606299367674E-2</v>
      </c>
    </row>
    <row r="111" spans="1:2" x14ac:dyDescent="0.3">
      <c r="A111" s="6" t="s">
        <v>27</v>
      </c>
      <c r="B111" s="5">
        <v>2.5172877490252299E-3</v>
      </c>
    </row>
    <row r="112" spans="1:2" x14ac:dyDescent="0.3">
      <c r="A112" s="6" t="s">
        <v>28</v>
      </c>
      <c r="B112" s="5">
        <v>-5.3696614543279543E-2</v>
      </c>
    </row>
    <row r="113" spans="1:2" x14ac:dyDescent="0.3">
      <c r="A113" s="6" t="s">
        <v>29</v>
      </c>
      <c r="B113" s="5">
        <v>-8.9188434468646202E-2</v>
      </c>
    </row>
    <row r="114" spans="1:2" x14ac:dyDescent="0.3">
      <c r="A114" s="6" t="s">
        <v>30</v>
      </c>
      <c r="B114" s="5">
        <v>-9.3517867780180092E-2</v>
      </c>
    </row>
    <row r="115" spans="1:2" x14ac:dyDescent="0.3">
      <c r="A115" s="4" t="s">
        <v>8</v>
      </c>
      <c r="B115" s="5" t="e">
        <v>#DIV/0!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09EB3-C67C-4259-8912-B6CB61DD9491}">
  <dimension ref="A1"/>
  <sheetViews>
    <sheetView tabSelected="1" zoomScale="74" zoomScaleNormal="74" workbookViewId="0">
      <selection activeCell="W9" sqref="W9"/>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93B0-AFE1-4DB3-B589-540942316075}">
  <dimension ref="A1:H101"/>
  <sheetViews>
    <sheetView workbookViewId="0">
      <selection sqref="A1:XFD1048576"/>
    </sheetView>
  </sheetViews>
  <sheetFormatPr defaultRowHeight="14.4" x14ac:dyDescent="0.3"/>
  <cols>
    <col min="1" max="1" width="9.33203125" bestFit="1" customWidth="1"/>
    <col min="3" max="4" width="10.44140625" bestFit="1" customWidth="1"/>
    <col min="7" max="7" width="14.33203125" bestFit="1" customWidth="1"/>
    <col min="8" max="8" width="17.21875" bestFit="1" customWidth="1"/>
  </cols>
  <sheetData>
    <row r="1" spans="1:8" x14ac:dyDescent="0.3">
      <c r="A1" t="s">
        <v>0</v>
      </c>
      <c r="B1" t="s">
        <v>1</v>
      </c>
      <c r="C1" t="s">
        <v>2</v>
      </c>
      <c r="D1" t="s">
        <v>3</v>
      </c>
      <c r="E1" t="s">
        <v>4</v>
      </c>
      <c r="F1" t="s">
        <v>5</v>
      </c>
      <c r="G1" t="s">
        <v>6</v>
      </c>
      <c r="H1" t="s">
        <v>7</v>
      </c>
    </row>
    <row r="2" spans="1:8" x14ac:dyDescent="0.3">
      <c r="A2" s="1">
        <v>45566</v>
      </c>
      <c r="B2">
        <v>6.4280000000000004E-2</v>
      </c>
      <c r="C2">
        <v>424950</v>
      </c>
      <c r="D2">
        <v>3227</v>
      </c>
      <c r="E2">
        <v>1025</v>
      </c>
      <c r="F2">
        <v>86640</v>
      </c>
      <c r="G2">
        <f>1/0.3*(0.85*C2*B2/12*(1+B2/12)^360/((1+B2/12)^360-1)*12+D2+E2)</f>
        <v>104813.35520560961</v>
      </c>
      <c r="H2" s="2">
        <f>(G2-G14)/G14</f>
        <v>-9.3517867780180092E-2</v>
      </c>
    </row>
    <row r="3" spans="1:8" x14ac:dyDescent="0.3">
      <c r="A3" s="1">
        <v>45536</v>
      </c>
      <c r="B3">
        <v>6.1800000000000001E-2</v>
      </c>
      <c r="C3">
        <v>425000</v>
      </c>
      <c r="D3">
        <v>3227</v>
      </c>
      <c r="E3">
        <v>1025</v>
      </c>
      <c r="F3">
        <v>86640</v>
      </c>
      <c r="G3">
        <f t="shared" ref="G3:G66" si="0">1/0.3*(0.85*C3*B3/12*(1+B3/12)^360/((1+B3/12)^360-1)*12+D3+E3)</f>
        <v>102487.65257514779</v>
      </c>
      <c r="H3" s="2">
        <f>(G3-G15)/G15</f>
        <v>-8.9188434468646202E-2</v>
      </c>
    </row>
    <row r="4" spans="1:8" x14ac:dyDescent="0.3">
      <c r="A4" s="1">
        <v>45505</v>
      </c>
      <c r="B4">
        <v>6.5000000000000002E-2</v>
      </c>
      <c r="C4">
        <v>429990</v>
      </c>
      <c r="D4">
        <v>3227</v>
      </c>
      <c r="E4">
        <v>1025</v>
      </c>
      <c r="F4">
        <v>86640</v>
      </c>
      <c r="G4">
        <f t="shared" si="0"/>
        <v>106579.5293367251</v>
      </c>
      <c r="H4" s="2">
        <f>(G4-G16)/G16</f>
        <v>-5.3696614543279543E-2</v>
      </c>
    </row>
    <row r="5" spans="1:8" x14ac:dyDescent="0.3">
      <c r="A5" s="1">
        <v>45474</v>
      </c>
      <c r="B5">
        <v>6.8474999999999994E-2</v>
      </c>
      <c r="C5">
        <v>437450</v>
      </c>
      <c r="D5">
        <v>3227</v>
      </c>
      <c r="E5">
        <v>1025</v>
      </c>
      <c r="F5">
        <v>86640</v>
      </c>
      <c r="G5">
        <f t="shared" si="0"/>
        <v>111607.18353132796</v>
      </c>
      <c r="H5" s="2">
        <f>(G5-G17)/G17</f>
        <v>2.5172877490252299E-3</v>
      </c>
    </row>
    <row r="6" spans="1:8" x14ac:dyDescent="0.3">
      <c r="A6" s="1">
        <v>45444</v>
      </c>
      <c r="B6">
        <v>6.9175E-2</v>
      </c>
      <c r="C6">
        <v>445000</v>
      </c>
      <c r="D6">
        <v>3227</v>
      </c>
      <c r="E6">
        <v>1025</v>
      </c>
      <c r="F6">
        <v>86640</v>
      </c>
      <c r="G6">
        <f t="shared" si="0"/>
        <v>113996.6970918689</v>
      </c>
      <c r="H6" s="2">
        <f>(G6-G18)/G18</f>
        <v>2.5416606299367674E-2</v>
      </c>
    </row>
    <row r="7" spans="1:8" x14ac:dyDescent="0.3">
      <c r="A7" s="1">
        <v>45413</v>
      </c>
      <c r="B7">
        <v>7.0599999999999996E-2</v>
      </c>
      <c r="C7">
        <v>442450</v>
      </c>
      <c r="D7">
        <v>3227</v>
      </c>
      <c r="E7">
        <v>1025</v>
      </c>
      <c r="F7">
        <v>86640</v>
      </c>
      <c r="G7">
        <f t="shared" si="0"/>
        <v>114863.69750922277</v>
      </c>
      <c r="H7" s="2">
        <f>(G7-G19)/G19</f>
        <v>6.9131145445166853E-2</v>
      </c>
    </row>
    <row r="8" spans="1:8" x14ac:dyDescent="0.3">
      <c r="A8" s="1">
        <v>45383</v>
      </c>
      <c r="B8">
        <v>6.9925000000000001E-2</v>
      </c>
      <c r="C8">
        <v>429950</v>
      </c>
      <c r="D8">
        <v>3227</v>
      </c>
      <c r="E8">
        <v>1025</v>
      </c>
      <c r="F8">
        <v>86640</v>
      </c>
      <c r="G8">
        <f t="shared" si="0"/>
        <v>111355.6271250025</v>
      </c>
      <c r="H8" s="2">
        <f>(G8-G20)/G20</f>
        <v>6.7655248955402203E-2</v>
      </c>
    </row>
    <row r="9" spans="1:8" x14ac:dyDescent="0.3">
      <c r="A9" s="1">
        <v>45352</v>
      </c>
      <c r="B9">
        <v>6.8199999999999997E-2</v>
      </c>
      <c r="C9">
        <v>424900</v>
      </c>
      <c r="D9">
        <v>3227</v>
      </c>
      <c r="E9">
        <v>1025</v>
      </c>
      <c r="F9">
        <v>86640</v>
      </c>
      <c r="G9">
        <f t="shared" si="0"/>
        <v>108546.89899879831</v>
      </c>
      <c r="H9" s="2">
        <f>(G9-G21)/G21</f>
        <v>3.4405793111842428E-2</v>
      </c>
    </row>
    <row r="10" spans="1:8" x14ac:dyDescent="0.3">
      <c r="A10" s="1">
        <v>45323</v>
      </c>
      <c r="B10">
        <v>6.7760000000000001E-2</v>
      </c>
      <c r="C10">
        <v>415500</v>
      </c>
      <c r="D10">
        <v>3227</v>
      </c>
      <c r="E10">
        <v>1025</v>
      </c>
      <c r="F10">
        <v>86640</v>
      </c>
      <c r="G10">
        <f t="shared" si="0"/>
        <v>106045.07332907396</v>
      </c>
      <c r="H10" s="2">
        <f>(G10-G22)/G22</f>
        <v>5.8191529045552581E-2</v>
      </c>
    </row>
    <row r="11" spans="1:8" x14ac:dyDescent="0.3">
      <c r="A11" s="1">
        <v>45292</v>
      </c>
      <c r="B11">
        <v>6.6424999999999998E-2</v>
      </c>
      <c r="C11">
        <v>409500</v>
      </c>
      <c r="D11">
        <v>3227</v>
      </c>
      <c r="E11">
        <v>1025</v>
      </c>
      <c r="F11">
        <v>86640</v>
      </c>
      <c r="G11">
        <f t="shared" si="0"/>
        <v>103484.99445628484</v>
      </c>
      <c r="H11" s="2">
        <f>(G11-G23)/G23</f>
        <v>5.475236503653523E-2</v>
      </c>
    </row>
    <row r="12" spans="1:8" x14ac:dyDescent="0.3">
      <c r="A12" s="1">
        <v>45261</v>
      </c>
      <c r="B12">
        <v>6.8150000000000002E-2</v>
      </c>
      <c r="C12">
        <v>410000</v>
      </c>
      <c r="D12">
        <v>3048</v>
      </c>
      <c r="E12">
        <v>972</v>
      </c>
      <c r="F12">
        <v>80610</v>
      </c>
      <c r="G12">
        <f t="shared" si="0"/>
        <v>104417.69892679692</v>
      </c>
      <c r="H12" s="2">
        <f>(G12-G24)/G24</f>
        <v>6.078346572505286E-2</v>
      </c>
    </row>
    <row r="13" spans="1:8" x14ac:dyDescent="0.3">
      <c r="A13" s="1">
        <v>45231</v>
      </c>
      <c r="B13">
        <v>7.442E-2</v>
      </c>
      <c r="C13">
        <v>420000</v>
      </c>
      <c r="D13">
        <v>3048</v>
      </c>
      <c r="E13">
        <v>972</v>
      </c>
      <c r="F13">
        <v>80610</v>
      </c>
      <c r="G13">
        <f t="shared" si="0"/>
        <v>112681.30714445403</v>
      </c>
      <c r="H13" s="2">
        <f>(G13-G25)/G25</f>
        <v>7.4361889293012989E-2</v>
      </c>
    </row>
    <row r="14" spans="1:8" x14ac:dyDescent="0.3">
      <c r="A14" s="1">
        <v>45200</v>
      </c>
      <c r="B14">
        <v>7.6200000000000004E-2</v>
      </c>
      <c r="C14">
        <v>425000</v>
      </c>
      <c r="D14">
        <v>3048</v>
      </c>
      <c r="E14">
        <v>972</v>
      </c>
      <c r="F14">
        <v>80610</v>
      </c>
      <c r="G14">
        <f t="shared" si="0"/>
        <v>115626.49883560264</v>
      </c>
      <c r="H14" s="2">
        <f>(G14-G26)/G26</f>
        <v>7.265789354462307E-2</v>
      </c>
    </row>
    <row r="15" spans="1:8" x14ac:dyDescent="0.3">
      <c r="A15" s="1">
        <v>45170</v>
      </c>
      <c r="B15">
        <v>7.1999999999999995E-2</v>
      </c>
      <c r="C15">
        <v>429500</v>
      </c>
      <c r="D15">
        <v>3048</v>
      </c>
      <c r="E15">
        <v>972</v>
      </c>
      <c r="F15">
        <v>80610</v>
      </c>
      <c r="G15">
        <f t="shared" si="0"/>
        <v>112523.44222853388</v>
      </c>
      <c r="H15" s="2">
        <f>(G15-G27)/G27</f>
        <v>0.11550412253506577</v>
      </c>
    </row>
    <row r="16" spans="1:8" x14ac:dyDescent="0.3">
      <c r="A16" s="1">
        <v>45139</v>
      </c>
      <c r="B16">
        <v>7.0720000000000005E-2</v>
      </c>
      <c r="C16">
        <v>435495</v>
      </c>
      <c r="D16">
        <v>3048</v>
      </c>
      <c r="E16">
        <v>972</v>
      </c>
      <c r="F16">
        <v>80610</v>
      </c>
      <c r="G16">
        <f t="shared" si="0"/>
        <v>112627.23030974463</v>
      </c>
      <c r="H16" s="2">
        <f>(G16-G28)/G28</f>
        <v>0.20334950429816598</v>
      </c>
    </row>
    <row r="17" spans="1:8" x14ac:dyDescent="0.3">
      <c r="A17" s="1">
        <v>45108</v>
      </c>
      <c r="B17">
        <v>6.8400000000000002E-2</v>
      </c>
      <c r="C17">
        <v>440000</v>
      </c>
      <c r="D17">
        <v>3048</v>
      </c>
      <c r="E17">
        <v>972</v>
      </c>
      <c r="F17">
        <v>80610</v>
      </c>
      <c r="G17">
        <f t="shared" si="0"/>
        <v>111326.94158513924</v>
      </c>
      <c r="H17" s="2">
        <f>(G17-G29)/G29</f>
        <v>0.14188429399251809</v>
      </c>
    </row>
    <row r="18" spans="1:8" x14ac:dyDescent="0.3">
      <c r="A18" s="1">
        <v>45078</v>
      </c>
      <c r="B18">
        <v>6.7140000000000005E-2</v>
      </c>
      <c r="C18">
        <v>445000</v>
      </c>
      <c r="D18">
        <v>3048</v>
      </c>
      <c r="E18">
        <v>972</v>
      </c>
      <c r="F18">
        <v>80610</v>
      </c>
      <c r="G18">
        <f t="shared" si="0"/>
        <v>111171.10488708808</v>
      </c>
      <c r="H18" s="2">
        <f>(G18-G30)/G30</f>
        <v>0.11711597655953414</v>
      </c>
    </row>
    <row r="19" spans="1:8" x14ac:dyDescent="0.3">
      <c r="A19" s="1">
        <v>45047</v>
      </c>
      <c r="B19">
        <v>6.4250000000000002E-2</v>
      </c>
      <c r="C19">
        <v>441012</v>
      </c>
      <c r="D19">
        <v>3048</v>
      </c>
      <c r="E19">
        <v>972</v>
      </c>
      <c r="F19">
        <v>80610</v>
      </c>
      <c r="G19">
        <f t="shared" si="0"/>
        <v>107436.48989983881</v>
      </c>
      <c r="H19" s="2">
        <f>(G19-G31)/G31</f>
        <v>0.1360113180016852</v>
      </c>
    </row>
    <row r="20" spans="1:8" x14ac:dyDescent="0.3">
      <c r="A20" s="1">
        <v>45017</v>
      </c>
      <c r="B20">
        <v>6.3424999999999995E-2</v>
      </c>
      <c r="C20">
        <v>430000</v>
      </c>
      <c r="D20">
        <v>3048</v>
      </c>
      <c r="E20">
        <v>972</v>
      </c>
      <c r="F20">
        <v>80610</v>
      </c>
      <c r="G20">
        <f t="shared" si="0"/>
        <v>104299.23632553978</v>
      </c>
      <c r="H20" s="2">
        <f>(G20-G32)/G32</f>
        <v>0.17136111340317697</v>
      </c>
    </row>
    <row r="21" spans="1:8" x14ac:dyDescent="0.3">
      <c r="A21" s="1">
        <v>44986</v>
      </c>
      <c r="B21">
        <v>6.5439999999999998E-2</v>
      </c>
      <c r="C21">
        <v>424000</v>
      </c>
      <c r="D21">
        <v>3048</v>
      </c>
      <c r="E21">
        <v>972</v>
      </c>
      <c r="F21">
        <v>80610</v>
      </c>
      <c r="G21">
        <f t="shared" si="0"/>
        <v>104936.47630515731</v>
      </c>
      <c r="H21" s="2">
        <f>(G21-G33)/G33</f>
        <v>0.33134675175986528</v>
      </c>
    </row>
    <row r="22" spans="1:8" x14ac:dyDescent="0.3">
      <c r="A22" s="1">
        <v>44958</v>
      </c>
      <c r="B22">
        <v>6.2575000000000006E-2</v>
      </c>
      <c r="C22">
        <v>414365</v>
      </c>
      <c r="D22">
        <v>3048</v>
      </c>
      <c r="E22">
        <v>972</v>
      </c>
      <c r="F22">
        <v>80610</v>
      </c>
      <c r="G22">
        <f t="shared" si="0"/>
        <v>100213.49672371926</v>
      </c>
      <c r="H22" s="2">
        <f>(G22-G34)/G34</f>
        <v>0.36786832704085742</v>
      </c>
    </row>
    <row r="23" spans="1:8" x14ac:dyDescent="0.3">
      <c r="A23" s="1">
        <v>44927</v>
      </c>
      <c r="B23">
        <v>6.2725000000000003E-2</v>
      </c>
      <c r="C23">
        <v>403700</v>
      </c>
      <c r="D23">
        <v>3048</v>
      </c>
      <c r="E23">
        <v>972</v>
      </c>
      <c r="F23">
        <v>80610</v>
      </c>
      <c r="G23">
        <f t="shared" si="0"/>
        <v>98113.071737649298</v>
      </c>
      <c r="H23" s="2">
        <f>(G23-G35)/G35</f>
        <v>0.42780931848159903</v>
      </c>
    </row>
    <row r="24" spans="1:8" x14ac:dyDescent="0.3">
      <c r="A24" s="1">
        <v>44896</v>
      </c>
      <c r="B24">
        <v>6.3640000000000002E-2</v>
      </c>
      <c r="C24">
        <v>405000</v>
      </c>
      <c r="D24">
        <v>2869</v>
      </c>
      <c r="E24">
        <v>919</v>
      </c>
      <c r="F24">
        <v>74580</v>
      </c>
      <c r="G24">
        <f t="shared" si="0"/>
        <v>98434.508361635046</v>
      </c>
      <c r="H24" s="2">
        <f>(G24-G36)/G36</f>
        <v>0.50649955710700945</v>
      </c>
    </row>
    <row r="25" spans="1:8" x14ac:dyDescent="0.3">
      <c r="A25" s="1">
        <v>44866</v>
      </c>
      <c r="B25">
        <v>6.8049999999999999E-2</v>
      </c>
      <c r="C25">
        <v>416000</v>
      </c>
      <c r="D25">
        <v>2869</v>
      </c>
      <c r="E25">
        <v>919</v>
      </c>
      <c r="F25">
        <v>74580</v>
      </c>
      <c r="G25">
        <f t="shared" si="0"/>
        <v>104882.07769414112</v>
      </c>
      <c r="H25" s="2">
        <f>(G25-G37)/G37</f>
        <v>0.59272283161223704</v>
      </c>
    </row>
    <row r="26" spans="1:8" x14ac:dyDescent="0.3">
      <c r="A26" s="1">
        <v>44835</v>
      </c>
      <c r="B26">
        <v>6.9000000000000006E-2</v>
      </c>
      <c r="C26">
        <v>425000</v>
      </c>
      <c r="D26">
        <v>2869</v>
      </c>
      <c r="E26">
        <v>919</v>
      </c>
      <c r="F26">
        <v>74580</v>
      </c>
      <c r="G26">
        <f t="shared" si="0"/>
        <v>107794.38582557965</v>
      </c>
      <c r="H26" s="2">
        <f>(G26-G38)/G38</f>
        <v>0.63383128839617908</v>
      </c>
    </row>
    <row r="27" spans="1:8" x14ac:dyDescent="0.3">
      <c r="A27" s="1">
        <v>44805</v>
      </c>
      <c r="B27">
        <v>6.1120000000000001E-2</v>
      </c>
      <c r="C27">
        <v>427750</v>
      </c>
      <c r="D27">
        <v>2869</v>
      </c>
      <c r="E27">
        <v>919</v>
      </c>
      <c r="F27">
        <v>74580</v>
      </c>
      <c r="G27">
        <f t="shared" si="0"/>
        <v>100872.27824207052</v>
      </c>
      <c r="H27" s="2">
        <f>(G27-G39)/G39</f>
        <v>0.55604688164324279</v>
      </c>
    </row>
    <row r="28" spans="1:8" x14ac:dyDescent="0.3">
      <c r="A28" s="1">
        <v>44774</v>
      </c>
      <c r="B28">
        <v>5.2225000000000001E-2</v>
      </c>
      <c r="C28">
        <v>432590</v>
      </c>
      <c r="D28">
        <v>2869</v>
      </c>
      <c r="E28">
        <v>919</v>
      </c>
      <c r="F28">
        <v>74580</v>
      </c>
      <c r="G28">
        <f t="shared" si="0"/>
        <v>93594.778497401407</v>
      </c>
      <c r="H28" s="2">
        <f>(G28-G40)/G40</f>
        <v>0.45256309376880849</v>
      </c>
    </row>
    <row r="29" spans="1:8" x14ac:dyDescent="0.3">
      <c r="A29" s="1">
        <v>44743</v>
      </c>
      <c r="B29">
        <v>5.4125E-2</v>
      </c>
      <c r="C29">
        <v>443900</v>
      </c>
      <c r="D29">
        <v>2869</v>
      </c>
      <c r="E29">
        <v>919</v>
      </c>
      <c r="F29">
        <v>74580</v>
      </c>
      <c r="G29">
        <f t="shared" si="0"/>
        <v>97494.065003637472</v>
      </c>
      <c r="H29" s="2">
        <f>(G29-G41)/G41</f>
        <v>0.49596145476187725</v>
      </c>
    </row>
    <row r="30" spans="1:8" x14ac:dyDescent="0.3">
      <c r="A30" s="1">
        <v>44713</v>
      </c>
      <c r="B30">
        <v>5.5219999999999998E-2</v>
      </c>
      <c r="C30">
        <v>449000</v>
      </c>
      <c r="D30">
        <v>2869</v>
      </c>
      <c r="E30">
        <v>919</v>
      </c>
      <c r="F30">
        <v>74580</v>
      </c>
      <c r="G30">
        <f t="shared" si="0"/>
        <v>99516.171301631606</v>
      </c>
      <c r="H30" s="2">
        <f>(G30-G42)/G42</f>
        <v>0.50691726481469845</v>
      </c>
    </row>
    <row r="31" spans="1:8" x14ac:dyDescent="0.3">
      <c r="A31" s="1">
        <v>44682</v>
      </c>
      <c r="B31">
        <v>5.2299999999999999E-2</v>
      </c>
      <c r="C31">
        <v>437450</v>
      </c>
      <c r="D31">
        <v>2869</v>
      </c>
      <c r="E31">
        <v>919</v>
      </c>
      <c r="F31">
        <v>74580</v>
      </c>
      <c r="G31">
        <f t="shared" si="0"/>
        <v>94573.432673915871</v>
      </c>
      <c r="H31" s="2">
        <f>(G31-G43)/G43</f>
        <v>0.44473697231528225</v>
      </c>
    </row>
    <row r="32" spans="1:8" x14ac:dyDescent="0.3">
      <c r="A32" s="1">
        <v>44652</v>
      </c>
      <c r="B32">
        <v>4.9825000000000001E-2</v>
      </c>
      <c r="C32">
        <v>419500</v>
      </c>
      <c r="D32">
        <v>2869</v>
      </c>
      <c r="E32">
        <v>919</v>
      </c>
      <c r="F32">
        <v>74580</v>
      </c>
      <c r="G32">
        <f t="shared" si="0"/>
        <v>89041.060977786168</v>
      </c>
      <c r="H32" s="2">
        <f>(G32-G44)/G44</f>
        <v>0.36727608672645368</v>
      </c>
    </row>
    <row r="33" spans="1:8" x14ac:dyDescent="0.3">
      <c r="A33" s="1">
        <v>44621</v>
      </c>
      <c r="B33">
        <v>4.172E-2</v>
      </c>
      <c r="C33">
        <v>399450</v>
      </c>
      <c r="D33">
        <v>2869</v>
      </c>
      <c r="E33">
        <v>919</v>
      </c>
      <c r="F33">
        <v>74580</v>
      </c>
      <c r="G33">
        <f t="shared" si="0"/>
        <v>78819.793691196595</v>
      </c>
      <c r="H33" s="2">
        <f>(G33-G45)/G45</f>
        <v>0.25482268931901225</v>
      </c>
    </row>
    <row r="34" spans="1:8" x14ac:dyDescent="0.3">
      <c r="A34" s="1">
        <v>44593</v>
      </c>
      <c r="B34">
        <v>3.7624999999999999E-2</v>
      </c>
      <c r="C34">
        <v>384500</v>
      </c>
      <c r="D34">
        <v>2869</v>
      </c>
      <c r="E34">
        <v>919</v>
      </c>
      <c r="F34">
        <v>74580</v>
      </c>
      <c r="G34">
        <f t="shared" si="0"/>
        <v>73262.531738353457</v>
      </c>
      <c r="H34" s="2">
        <f>(G34-G46)/G46</f>
        <v>0.22497970248468591</v>
      </c>
    </row>
    <row r="35" spans="1:8" x14ac:dyDescent="0.3">
      <c r="A35" s="1">
        <v>44562</v>
      </c>
      <c r="B35">
        <v>3.4450000000000001E-2</v>
      </c>
      <c r="C35">
        <v>369900</v>
      </c>
      <c r="D35">
        <v>2869</v>
      </c>
      <c r="E35">
        <v>919</v>
      </c>
      <c r="F35">
        <v>74580</v>
      </c>
      <c r="G35">
        <f t="shared" si="0"/>
        <v>68715.808524059394</v>
      </c>
      <c r="H35" s="2">
        <f>(G35-G47)/G47</f>
        <v>0.18139667770251344</v>
      </c>
    </row>
    <row r="36" spans="1:8" x14ac:dyDescent="0.3">
      <c r="A36" s="1">
        <v>44531</v>
      </c>
      <c r="B36">
        <v>3.0980000000000001E-2</v>
      </c>
      <c r="C36">
        <v>369161</v>
      </c>
      <c r="D36">
        <v>2690</v>
      </c>
      <c r="E36">
        <v>837</v>
      </c>
      <c r="F36">
        <v>70780</v>
      </c>
      <c r="G36">
        <f t="shared" si="0"/>
        <v>65339.885363566063</v>
      </c>
      <c r="H36" s="2">
        <f>(G36-G48)/G48</f>
        <v>0.13706819754143842</v>
      </c>
    </row>
    <row r="37" spans="1:8" x14ac:dyDescent="0.3">
      <c r="A37" s="1">
        <v>44501</v>
      </c>
      <c r="B37">
        <v>3.0675000000000001E-2</v>
      </c>
      <c r="C37">
        <v>374131</v>
      </c>
      <c r="D37">
        <v>2690</v>
      </c>
      <c r="E37">
        <v>837</v>
      </c>
      <c r="F37">
        <v>70780</v>
      </c>
      <c r="G37">
        <f t="shared" si="0"/>
        <v>65850.803173314227</v>
      </c>
      <c r="H37" s="2">
        <f>(G37-G49)/G49</f>
        <v>0.12081279442744931</v>
      </c>
    </row>
    <row r="38" spans="1:8" x14ac:dyDescent="0.3">
      <c r="A38" s="1">
        <v>44470</v>
      </c>
      <c r="B38">
        <v>3.0675000000000001E-2</v>
      </c>
      <c r="C38">
        <v>375000</v>
      </c>
      <c r="D38">
        <v>2690</v>
      </c>
      <c r="E38">
        <v>837</v>
      </c>
      <c r="F38">
        <v>70780</v>
      </c>
      <c r="G38">
        <f t="shared" si="0"/>
        <v>65976.448481038737</v>
      </c>
      <c r="H38" s="2">
        <f>(G38-G50)/G50</f>
        <v>9.6656019038798294E-2</v>
      </c>
    </row>
    <row r="39" spans="1:8" x14ac:dyDescent="0.3">
      <c r="A39" s="1">
        <v>44440</v>
      </c>
      <c r="B39">
        <v>2.9000000000000001E-2</v>
      </c>
      <c r="C39">
        <v>375000</v>
      </c>
      <c r="D39">
        <v>2690</v>
      </c>
      <c r="E39">
        <v>837</v>
      </c>
      <c r="F39">
        <v>70780</v>
      </c>
      <c r="G39">
        <f t="shared" si="0"/>
        <v>64825.989134431271</v>
      </c>
      <c r="H39" s="2">
        <f>(G39-G51)/G51</f>
        <v>7.1214779556609889E-2</v>
      </c>
    </row>
    <row r="40" spans="1:8" x14ac:dyDescent="0.3">
      <c r="A40" s="1">
        <v>44409</v>
      </c>
      <c r="B40">
        <v>2.8424999999999999E-2</v>
      </c>
      <c r="C40">
        <v>375000</v>
      </c>
      <c r="D40">
        <v>2690</v>
      </c>
      <c r="E40">
        <v>837</v>
      </c>
      <c r="F40">
        <v>70780</v>
      </c>
      <c r="G40">
        <f t="shared" si="0"/>
        <v>64434.225885886408</v>
      </c>
      <c r="H40" s="2">
        <f>(G40-G52)/G52</f>
        <v>5.9729518375762534E-2</v>
      </c>
    </row>
    <row r="41" spans="1:8" x14ac:dyDescent="0.3">
      <c r="A41" s="1">
        <v>44378</v>
      </c>
      <c r="B41">
        <v>2.8680000000000001E-2</v>
      </c>
      <c r="C41">
        <v>379000</v>
      </c>
      <c r="D41">
        <v>2690</v>
      </c>
      <c r="E41">
        <v>837</v>
      </c>
      <c r="F41">
        <v>70780</v>
      </c>
      <c r="G41">
        <f t="shared" si="0"/>
        <v>65171.508726577646</v>
      </c>
      <c r="H41" s="2">
        <f>(G41-G53)/G53</f>
        <v>7.286272534772946E-2</v>
      </c>
    </row>
    <row r="42" spans="1:8" x14ac:dyDescent="0.3">
      <c r="A42" s="1">
        <v>44348</v>
      </c>
      <c r="B42">
        <v>2.9749999999999999E-2</v>
      </c>
      <c r="C42">
        <v>379900</v>
      </c>
      <c r="D42">
        <v>2690</v>
      </c>
      <c r="E42">
        <v>837</v>
      </c>
      <c r="F42">
        <v>70780</v>
      </c>
      <c r="G42">
        <f t="shared" si="0"/>
        <v>66039.572062284948</v>
      </c>
      <c r="H42" s="2">
        <f>(G42-G54)/G54</f>
        <v>8.5001354231316675E-2</v>
      </c>
    </row>
    <row r="43" spans="1:8" x14ac:dyDescent="0.3">
      <c r="A43" s="1">
        <v>44317</v>
      </c>
      <c r="B43">
        <v>2.9624999999999999E-2</v>
      </c>
      <c r="C43">
        <v>376451</v>
      </c>
      <c r="D43">
        <v>2690</v>
      </c>
      <c r="E43">
        <v>837</v>
      </c>
      <c r="F43">
        <v>70780</v>
      </c>
      <c r="G43">
        <f t="shared" si="0"/>
        <v>65460.657881798354</v>
      </c>
      <c r="H43" s="2">
        <f>(G43-G55)/G55</f>
        <v>9.5304445497682813E-2</v>
      </c>
    </row>
    <row r="44" spans="1:8" x14ac:dyDescent="0.3">
      <c r="A44" s="1">
        <v>44287</v>
      </c>
      <c r="B44">
        <v>3.0599999999999999E-2</v>
      </c>
      <c r="C44">
        <v>369450</v>
      </c>
      <c r="D44">
        <v>2690</v>
      </c>
      <c r="E44">
        <v>837</v>
      </c>
      <c r="F44">
        <v>70780</v>
      </c>
      <c r="G44">
        <f t="shared" si="0"/>
        <v>65122.956396443078</v>
      </c>
      <c r="H44" s="2">
        <f>(G44-G56)/G56</f>
        <v>0.10821698808995688</v>
      </c>
    </row>
    <row r="45" spans="1:8" x14ac:dyDescent="0.3">
      <c r="A45" s="1">
        <v>44256</v>
      </c>
      <c r="B45">
        <v>3.0825000000000002E-2</v>
      </c>
      <c r="C45">
        <v>352450</v>
      </c>
      <c r="D45">
        <v>2690</v>
      </c>
      <c r="E45">
        <v>837</v>
      </c>
      <c r="F45">
        <v>70780</v>
      </c>
      <c r="G45">
        <f t="shared" si="0"/>
        <v>62813.490991282451</v>
      </c>
      <c r="H45" s="2">
        <f>(G45-G57)/G57</f>
        <v>5.407371711461418E-2</v>
      </c>
    </row>
    <row r="46" spans="1:8" x14ac:dyDescent="0.3">
      <c r="A46" s="1">
        <v>44228</v>
      </c>
      <c r="B46">
        <v>2.81E-2</v>
      </c>
      <c r="C46">
        <v>343500</v>
      </c>
      <c r="D46">
        <v>2690</v>
      </c>
      <c r="E46">
        <v>837</v>
      </c>
      <c r="F46">
        <v>70780</v>
      </c>
      <c r="G46">
        <f t="shared" si="0"/>
        <v>59807.139326269244</v>
      </c>
      <c r="H46" s="2">
        <f>(G46-G58)/G58</f>
        <v>3.7826611217168342E-2</v>
      </c>
    </row>
    <row r="47" spans="1:8" x14ac:dyDescent="0.3">
      <c r="A47" s="1">
        <v>44197</v>
      </c>
      <c r="B47">
        <v>2.7349999999999999E-2</v>
      </c>
      <c r="C47">
        <v>335000</v>
      </c>
      <c r="D47">
        <v>2690</v>
      </c>
      <c r="E47">
        <v>837</v>
      </c>
      <c r="F47">
        <v>70780</v>
      </c>
      <c r="G47">
        <f t="shared" si="0"/>
        <v>58164.890608709386</v>
      </c>
      <c r="H47" s="2">
        <f>(G47-G59)/G59</f>
        <v>1.0066426839589134E-2</v>
      </c>
    </row>
    <row r="48" spans="1:8" x14ac:dyDescent="0.3">
      <c r="A48" s="1">
        <v>44166</v>
      </c>
      <c r="B48">
        <v>2.6839999999999999E-2</v>
      </c>
      <c r="C48">
        <v>336250</v>
      </c>
      <c r="D48">
        <v>2551</v>
      </c>
      <c r="E48">
        <v>806</v>
      </c>
      <c r="F48">
        <v>68010</v>
      </c>
      <c r="G48">
        <f t="shared" si="0"/>
        <v>57463.470972843621</v>
      </c>
      <c r="H48" s="2">
        <f>(G48-G60)/G60</f>
        <v>-6.0281087086036201E-3</v>
      </c>
    </row>
    <row r="49" spans="1:8" x14ac:dyDescent="0.3">
      <c r="A49" s="1">
        <v>44136</v>
      </c>
      <c r="B49">
        <v>2.7650000000000001E-2</v>
      </c>
      <c r="C49">
        <v>342000</v>
      </c>
      <c r="D49">
        <v>2551</v>
      </c>
      <c r="E49">
        <v>806</v>
      </c>
      <c r="F49">
        <v>68010</v>
      </c>
      <c r="G49">
        <f t="shared" si="0"/>
        <v>58752.722578397348</v>
      </c>
      <c r="H49" s="2">
        <f>(G49-G61)/G61</f>
        <v>4.9151421429221671E-3</v>
      </c>
    </row>
    <row r="50" spans="1:8" x14ac:dyDescent="0.3">
      <c r="A50" s="1">
        <v>44105</v>
      </c>
      <c r="B50">
        <v>2.8340000000000001E-2</v>
      </c>
      <c r="C50">
        <v>349000</v>
      </c>
      <c r="D50">
        <v>2551</v>
      </c>
      <c r="E50">
        <v>806</v>
      </c>
      <c r="F50">
        <v>68010</v>
      </c>
      <c r="G50">
        <f t="shared" si="0"/>
        <v>60161.479384270424</v>
      </c>
      <c r="H50" s="2">
        <f>(G50-G62)/G62</f>
        <v>1.6291752670266443E-2</v>
      </c>
    </row>
    <row r="51" spans="1:8" x14ac:dyDescent="0.3">
      <c r="A51" s="1">
        <v>44075</v>
      </c>
      <c r="B51">
        <v>2.8899999999999999E-2</v>
      </c>
      <c r="C51">
        <v>349000</v>
      </c>
      <c r="D51">
        <v>2551</v>
      </c>
      <c r="E51">
        <v>806</v>
      </c>
      <c r="F51">
        <v>68010</v>
      </c>
      <c r="G51">
        <f t="shared" si="0"/>
        <v>60516.331898691329</v>
      </c>
      <c r="H51" s="2">
        <f>(G51-G63)/G63</f>
        <v>2.4039494488577343E-2</v>
      </c>
    </row>
    <row r="52" spans="1:8" x14ac:dyDescent="0.3">
      <c r="A52" s="1">
        <v>44044</v>
      </c>
      <c r="B52">
        <v>2.9350000000000001E-2</v>
      </c>
      <c r="C52">
        <v>349000</v>
      </c>
      <c r="D52">
        <v>2551</v>
      </c>
      <c r="E52">
        <v>806</v>
      </c>
      <c r="F52">
        <v>68010</v>
      </c>
      <c r="G52">
        <f t="shared" si="0"/>
        <v>60802.520613603498</v>
      </c>
      <c r="H52" s="2">
        <f>(G52-G64)/G64</f>
        <v>1.889938023383993E-2</v>
      </c>
    </row>
    <row r="53" spans="1:8" x14ac:dyDescent="0.3">
      <c r="A53" s="1">
        <v>44013</v>
      </c>
      <c r="B53">
        <v>3.0159999999999999E-2</v>
      </c>
      <c r="C53">
        <v>345000</v>
      </c>
      <c r="D53">
        <v>2551</v>
      </c>
      <c r="E53">
        <v>806</v>
      </c>
      <c r="F53">
        <v>68010</v>
      </c>
      <c r="G53">
        <f t="shared" si="0"/>
        <v>60745.431066639649</v>
      </c>
      <c r="H53" s="2">
        <f>(G53-G65)/G65</f>
        <v>-6.7166926902132544E-3</v>
      </c>
    </row>
    <row r="54" spans="1:8" x14ac:dyDescent="0.3">
      <c r="A54" s="1">
        <v>43983</v>
      </c>
      <c r="B54">
        <v>3.1625E-2</v>
      </c>
      <c r="C54">
        <v>339450</v>
      </c>
      <c r="D54">
        <v>2551</v>
      </c>
      <c r="E54">
        <v>806</v>
      </c>
      <c r="F54">
        <v>68010</v>
      </c>
      <c r="G54">
        <f t="shared" si="0"/>
        <v>60865.889065245952</v>
      </c>
      <c r="H54" s="2">
        <f>(G54-G66)/G66</f>
        <v>-9.9079222723222216E-3</v>
      </c>
    </row>
    <row r="55" spans="1:8" x14ac:dyDescent="0.3">
      <c r="A55" s="1">
        <v>43952</v>
      </c>
      <c r="B55">
        <v>3.2325E-2</v>
      </c>
      <c r="C55">
        <v>329000</v>
      </c>
      <c r="D55">
        <v>2551</v>
      </c>
      <c r="E55">
        <v>806</v>
      </c>
      <c r="F55">
        <v>68010</v>
      </c>
      <c r="G55">
        <f t="shared" si="0"/>
        <v>59764.806169534386</v>
      </c>
      <c r="H55" s="2">
        <f>(G55-G67)/G67</f>
        <v>-5.361400550711936E-2</v>
      </c>
    </row>
    <row r="56" spans="1:8" x14ac:dyDescent="0.3">
      <c r="A56" s="1">
        <v>43922</v>
      </c>
      <c r="B56">
        <v>3.3059999999999999E-2</v>
      </c>
      <c r="C56">
        <v>319250</v>
      </c>
      <c r="D56">
        <v>2551</v>
      </c>
      <c r="E56">
        <v>806</v>
      </c>
      <c r="F56">
        <v>68010</v>
      </c>
      <c r="G56">
        <f t="shared" si="0"/>
        <v>58763.723256656012</v>
      </c>
      <c r="H56" s="2">
        <f>(G56-G68)/G68</f>
        <v>-6.3824913513687478E-2</v>
      </c>
    </row>
    <row r="57" spans="1:8" x14ac:dyDescent="0.3">
      <c r="A57" s="1">
        <v>43891</v>
      </c>
      <c r="B57">
        <v>3.4500000000000003E-2</v>
      </c>
      <c r="C57">
        <v>319000</v>
      </c>
      <c r="D57">
        <v>2551</v>
      </c>
      <c r="E57">
        <v>806</v>
      </c>
      <c r="F57">
        <v>68010</v>
      </c>
      <c r="G57">
        <f t="shared" si="0"/>
        <v>59591.1746696673</v>
      </c>
      <c r="H57" s="2">
        <f>(G57-G69)/G69</f>
        <v>-3.8929480413454662E-2</v>
      </c>
    </row>
    <row r="58" spans="1:8" x14ac:dyDescent="0.3">
      <c r="A58" s="1">
        <v>43862</v>
      </c>
      <c r="B58">
        <v>3.465E-2</v>
      </c>
      <c r="C58">
        <v>305485</v>
      </c>
      <c r="D58">
        <v>2551</v>
      </c>
      <c r="E58">
        <v>806</v>
      </c>
      <c r="F58">
        <v>68010</v>
      </c>
      <c r="G58">
        <f t="shared" si="0"/>
        <v>57627.294077694853</v>
      </c>
      <c r="H58" s="2">
        <f>(G58-G70)/G70</f>
        <v>-5.5007168167307656E-2</v>
      </c>
    </row>
    <row r="59" spans="1:8" x14ac:dyDescent="0.3">
      <c r="A59" s="1">
        <v>43831</v>
      </c>
      <c r="B59">
        <v>3.6240000000000001E-2</v>
      </c>
      <c r="C59">
        <v>299250</v>
      </c>
      <c r="D59">
        <v>2551</v>
      </c>
      <c r="E59">
        <v>806</v>
      </c>
      <c r="F59">
        <v>68010</v>
      </c>
      <c r="G59">
        <f t="shared" si="0"/>
        <v>57585.213272262023</v>
      </c>
      <c r="H59" s="2">
        <f>(G59-G71)/G71</f>
        <v>-4.6878057146708722E-2</v>
      </c>
    </row>
    <row r="60" spans="1:8" x14ac:dyDescent="0.3">
      <c r="A60" s="1">
        <v>43800</v>
      </c>
      <c r="B60">
        <v>3.7199999999999997E-2</v>
      </c>
      <c r="C60">
        <v>299900</v>
      </c>
      <c r="D60">
        <v>2471</v>
      </c>
      <c r="E60">
        <v>758</v>
      </c>
      <c r="F60">
        <v>68700</v>
      </c>
      <c r="G60">
        <f t="shared" si="0"/>
        <v>57811.967799396676</v>
      </c>
      <c r="H60" s="2">
        <f>(G60-G72)/G72</f>
        <v>-5.3769142781269645E-2</v>
      </c>
    </row>
    <row r="61" spans="1:8" x14ac:dyDescent="0.3">
      <c r="A61" s="1">
        <v>43770</v>
      </c>
      <c r="B61">
        <v>3.6949999999999997E-2</v>
      </c>
      <c r="C61">
        <v>305000</v>
      </c>
      <c r="D61">
        <v>2471</v>
      </c>
      <c r="E61">
        <v>758</v>
      </c>
      <c r="F61">
        <v>68700</v>
      </c>
      <c r="G61">
        <f t="shared" si="0"/>
        <v>58465.357038118302</v>
      </c>
      <c r="H61" s="2">
        <f>(G61-G73)/G73</f>
        <v>-7.7418369864065584E-2</v>
      </c>
    </row>
    <row r="62" spans="1:8" x14ac:dyDescent="0.3">
      <c r="A62" s="1">
        <v>43739</v>
      </c>
      <c r="B62">
        <v>3.6880000000000003E-2</v>
      </c>
      <c r="C62">
        <v>309945</v>
      </c>
      <c r="D62">
        <v>2471</v>
      </c>
      <c r="E62">
        <v>758</v>
      </c>
      <c r="F62">
        <v>68700</v>
      </c>
      <c r="G62">
        <f t="shared" si="0"/>
        <v>59197.055595697311</v>
      </c>
      <c r="H62" s="2">
        <f>(G62-G74)/G74</f>
        <v>-6.3298957742740483E-2</v>
      </c>
    </row>
    <row r="63" spans="1:8" x14ac:dyDescent="0.3">
      <c r="A63" s="1">
        <v>43709</v>
      </c>
      <c r="B63">
        <v>3.6049999999999999E-2</v>
      </c>
      <c r="C63">
        <v>312477</v>
      </c>
      <c r="D63">
        <v>2471</v>
      </c>
      <c r="E63">
        <v>758</v>
      </c>
      <c r="F63">
        <v>68700</v>
      </c>
      <c r="G63">
        <f t="shared" si="0"/>
        <v>59095.701117381424</v>
      </c>
      <c r="H63" s="2">
        <f>(G63-G75)/G75</f>
        <v>-5.2452614529208623E-2</v>
      </c>
    </row>
    <row r="64" spans="1:8" x14ac:dyDescent="0.3">
      <c r="A64" s="1">
        <v>43678</v>
      </c>
      <c r="B64">
        <v>3.6159999999999998E-2</v>
      </c>
      <c r="C64">
        <v>315791</v>
      </c>
      <c r="D64">
        <v>2471</v>
      </c>
      <c r="E64">
        <v>758</v>
      </c>
      <c r="F64">
        <v>68700</v>
      </c>
      <c r="G64">
        <f t="shared" si="0"/>
        <v>59674.705660974265</v>
      </c>
      <c r="H64" s="2">
        <f>(G64-G76)/G76</f>
        <v>-3.8622941049887803E-2</v>
      </c>
    </row>
    <row r="65" spans="1:8" x14ac:dyDescent="0.3">
      <c r="A65" s="1">
        <v>43647</v>
      </c>
      <c r="B65">
        <v>3.7650000000000003E-2</v>
      </c>
      <c r="C65">
        <v>319450</v>
      </c>
      <c r="D65">
        <v>2471</v>
      </c>
      <c r="E65">
        <v>758</v>
      </c>
      <c r="F65">
        <v>68700</v>
      </c>
      <c r="G65">
        <f t="shared" si="0"/>
        <v>61156.198457782266</v>
      </c>
      <c r="H65" s="2">
        <f>(G65-G77)/G77</f>
        <v>-1.5203050936080266E-2</v>
      </c>
    </row>
    <row r="66" spans="1:8" x14ac:dyDescent="0.3">
      <c r="A66" s="1">
        <v>43617</v>
      </c>
      <c r="B66">
        <v>3.8025000000000003E-2</v>
      </c>
      <c r="C66">
        <v>320000</v>
      </c>
      <c r="D66">
        <v>2471</v>
      </c>
      <c r="E66">
        <v>758</v>
      </c>
      <c r="F66">
        <v>68700</v>
      </c>
      <c r="G66">
        <f t="shared" si="0"/>
        <v>61474.978372654907</v>
      </c>
      <c r="H66" s="2">
        <f>(G66-G78)/G78</f>
        <v>-1.5396941112440315E-2</v>
      </c>
    </row>
    <row r="67" spans="1:8" x14ac:dyDescent="0.3">
      <c r="A67" s="1">
        <v>43586</v>
      </c>
      <c r="B67">
        <v>4.0719999999999999E-2</v>
      </c>
      <c r="C67">
        <v>319950</v>
      </c>
      <c r="D67">
        <v>2471</v>
      </c>
      <c r="E67">
        <v>758</v>
      </c>
      <c r="F67">
        <v>68700</v>
      </c>
      <c r="G67">
        <f t="shared" ref="G67:G101" si="1">1/0.3*(0.85*C67*B67/12*(1+B67/12)^360/((1+B67/12)^360-1)*12+D67+E67)</f>
        <v>63150.560677474161</v>
      </c>
      <c r="H67" s="2">
        <f>(G67-G79)/G79</f>
        <v>1.1130885967427725E-2</v>
      </c>
    </row>
    <row r="68" spans="1:8" x14ac:dyDescent="0.3">
      <c r="A68" s="1">
        <v>43556</v>
      </c>
      <c r="B68">
        <v>4.1424999999999997E-2</v>
      </c>
      <c r="C68">
        <v>314950</v>
      </c>
      <c r="D68">
        <v>2471</v>
      </c>
      <c r="E68">
        <v>758</v>
      </c>
      <c r="F68">
        <v>68700</v>
      </c>
      <c r="G68">
        <f t="shared" si="1"/>
        <v>62770.013969513144</v>
      </c>
      <c r="H68" s="2">
        <f>(G68-G80)/G80</f>
        <v>2.9605368737253258E-2</v>
      </c>
    </row>
    <row r="69" spans="1:8" x14ac:dyDescent="0.3">
      <c r="A69" s="1">
        <v>43525</v>
      </c>
      <c r="B69">
        <v>4.265E-2</v>
      </c>
      <c r="C69">
        <v>305814</v>
      </c>
      <c r="D69">
        <v>2471</v>
      </c>
      <c r="E69">
        <v>758</v>
      </c>
      <c r="F69">
        <v>68700</v>
      </c>
      <c r="G69">
        <f t="shared" si="1"/>
        <v>62004.996985344587</v>
      </c>
      <c r="H69" s="2">
        <f>(G69-G81)/G81</f>
        <v>4.875330315503125E-2</v>
      </c>
    </row>
    <row r="70" spans="1:8" x14ac:dyDescent="0.3">
      <c r="A70" s="1">
        <v>43497</v>
      </c>
      <c r="B70">
        <v>4.3700000000000003E-2</v>
      </c>
      <c r="C70">
        <v>296000</v>
      </c>
      <c r="D70">
        <v>2471</v>
      </c>
      <c r="E70">
        <v>758</v>
      </c>
      <c r="F70">
        <v>68700</v>
      </c>
      <c r="G70">
        <f t="shared" si="1"/>
        <v>60981.726142762491</v>
      </c>
      <c r="H70" s="2">
        <f>(G70-G82)/G82</f>
        <v>7.252700388350547E-2</v>
      </c>
    </row>
    <row r="71" spans="1:8" x14ac:dyDescent="0.3">
      <c r="A71" s="1">
        <v>43466</v>
      </c>
      <c r="B71">
        <v>4.4639999999999999E-2</v>
      </c>
      <c r="C71">
        <v>289450</v>
      </c>
      <c r="D71">
        <v>2471</v>
      </c>
      <c r="E71">
        <v>758</v>
      </c>
      <c r="F71">
        <v>68700</v>
      </c>
      <c r="G71">
        <f t="shared" si="1"/>
        <v>60417.466730304615</v>
      </c>
      <c r="H71" s="2">
        <f>(G71-G83)/G83</f>
        <v>0.11259499584962587</v>
      </c>
    </row>
    <row r="72" spans="1:8" x14ac:dyDescent="0.3">
      <c r="A72" s="1">
        <v>43435</v>
      </c>
      <c r="B72">
        <v>4.6375E-2</v>
      </c>
      <c r="C72">
        <v>289900</v>
      </c>
      <c r="D72">
        <v>2375</v>
      </c>
      <c r="E72">
        <v>729</v>
      </c>
      <c r="F72">
        <v>63180</v>
      </c>
      <c r="G72">
        <f t="shared" si="1"/>
        <v>61097.106861769658</v>
      </c>
      <c r="H72" s="2">
        <f>(G72-G84)/G84</f>
        <v>0.14272001029459236</v>
      </c>
    </row>
    <row r="73" spans="1:8" x14ac:dyDescent="0.3">
      <c r="A73" s="1">
        <v>43405</v>
      </c>
      <c r="B73">
        <v>4.8660000000000002E-2</v>
      </c>
      <c r="C73">
        <v>295000</v>
      </c>
      <c r="D73">
        <v>2375</v>
      </c>
      <c r="E73">
        <v>729</v>
      </c>
      <c r="F73">
        <v>63180</v>
      </c>
      <c r="G73">
        <f t="shared" si="1"/>
        <v>63371.473188235861</v>
      </c>
      <c r="H73" s="2">
        <f>(G73-G85)/G85</f>
        <v>0.17248493743341914</v>
      </c>
    </row>
    <row r="74" spans="1:8" x14ac:dyDescent="0.3">
      <c r="A74" s="1">
        <v>43374</v>
      </c>
      <c r="B74">
        <v>4.8300000000000003E-2</v>
      </c>
      <c r="C74">
        <v>295250</v>
      </c>
      <c r="D74">
        <v>2375</v>
      </c>
      <c r="E74">
        <v>729</v>
      </c>
      <c r="F74">
        <v>63180</v>
      </c>
      <c r="G74">
        <f t="shared" si="1"/>
        <v>63197.384144085518</v>
      </c>
      <c r="H74" s="2">
        <f>(G74-G86)/G86</f>
        <v>0.1704476824318403</v>
      </c>
    </row>
    <row r="75" spans="1:8" x14ac:dyDescent="0.3">
      <c r="A75" s="1">
        <v>43344</v>
      </c>
      <c r="B75">
        <v>4.6274999999999997E-2</v>
      </c>
      <c r="C75">
        <v>297500</v>
      </c>
      <c r="D75">
        <v>2375</v>
      </c>
      <c r="E75">
        <v>729</v>
      </c>
      <c r="F75">
        <v>63180</v>
      </c>
      <c r="G75">
        <f t="shared" si="1"/>
        <v>62367.014065496653</v>
      </c>
      <c r="H75" s="2">
        <f>(G75-G87)/G87</f>
        <v>0.16544167132275681</v>
      </c>
    </row>
    <row r="76" spans="1:8" x14ac:dyDescent="0.3">
      <c r="A76" s="1">
        <v>43313</v>
      </c>
      <c r="B76">
        <v>4.5499999999999999E-2</v>
      </c>
      <c r="C76">
        <v>298500</v>
      </c>
      <c r="D76">
        <v>2375</v>
      </c>
      <c r="E76">
        <v>729</v>
      </c>
      <c r="F76">
        <v>63180</v>
      </c>
      <c r="G76">
        <f t="shared" si="1"/>
        <v>62072.113231142648</v>
      </c>
      <c r="H76" s="2">
        <f>(G76-G88)/G88</f>
        <v>0.15131902960219001</v>
      </c>
    </row>
    <row r="77" spans="1:8" x14ac:dyDescent="0.3">
      <c r="A77" s="1">
        <v>43282</v>
      </c>
      <c r="B77">
        <v>4.5275000000000003E-2</v>
      </c>
      <c r="C77">
        <v>299450</v>
      </c>
      <c r="D77">
        <v>2375</v>
      </c>
      <c r="E77">
        <v>729</v>
      </c>
      <c r="F77">
        <v>63180</v>
      </c>
      <c r="G77">
        <f t="shared" si="1"/>
        <v>62100.312674519497</v>
      </c>
      <c r="H77" s="2">
        <f>(G77-G89)/G89</f>
        <v>0.1284798410420406</v>
      </c>
    </row>
    <row r="78" spans="1:8" x14ac:dyDescent="0.3">
      <c r="A78" s="1">
        <v>43252</v>
      </c>
      <c r="B78">
        <v>4.5699999999999998E-2</v>
      </c>
      <c r="C78">
        <v>299900</v>
      </c>
      <c r="D78">
        <v>2375</v>
      </c>
      <c r="E78">
        <v>729</v>
      </c>
      <c r="F78">
        <v>63180</v>
      </c>
      <c r="G78">
        <f t="shared" si="1"/>
        <v>62436.306507224923</v>
      </c>
      <c r="H78" s="2">
        <f>(G78-G90)/G90</f>
        <v>0.14176163499760749</v>
      </c>
    </row>
    <row r="79" spans="1:8" x14ac:dyDescent="0.3">
      <c r="A79" s="1">
        <v>43221</v>
      </c>
      <c r="B79">
        <v>4.5859999999999998E-2</v>
      </c>
      <c r="C79">
        <v>299450</v>
      </c>
      <c r="D79">
        <v>2375</v>
      </c>
      <c r="E79">
        <v>729</v>
      </c>
      <c r="F79">
        <v>63180</v>
      </c>
      <c r="G79">
        <f t="shared" si="1"/>
        <v>62455.37699805609</v>
      </c>
      <c r="H79" s="2">
        <f>(G79-G91)/G91</f>
        <v>0.13520980892271345</v>
      </c>
    </row>
    <row r="80" spans="1:8" x14ac:dyDescent="0.3">
      <c r="A80" s="1">
        <v>43191</v>
      </c>
      <c r="B80">
        <v>4.4674999999999999E-2</v>
      </c>
      <c r="C80">
        <v>294950</v>
      </c>
      <c r="D80">
        <v>2375</v>
      </c>
      <c r="E80">
        <v>729</v>
      </c>
      <c r="F80">
        <v>63180</v>
      </c>
      <c r="G80">
        <f t="shared" si="1"/>
        <v>60965.119137341571</v>
      </c>
      <c r="H80" s="2">
        <f>(G80-G92)/G92</f>
        <v>0.12929287157483763</v>
      </c>
    </row>
    <row r="81" spans="1:8" x14ac:dyDescent="0.3">
      <c r="A81" s="1">
        <v>43160</v>
      </c>
      <c r="B81">
        <v>4.444E-2</v>
      </c>
      <c r="C81">
        <v>285000</v>
      </c>
      <c r="D81">
        <v>2375</v>
      </c>
      <c r="E81">
        <v>729</v>
      </c>
      <c r="F81">
        <v>63180</v>
      </c>
      <c r="G81">
        <f t="shared" si="1"/>
        <v>59122.576108996283</v>
      </c>
      <c r="H81" s="2">
        <f>(G81-G93)/G93</f>
        <v>9.7545158352643907E-2</v>
      </c>
    </row>
    <row r="82" spans="1:8" x14ac:dyDescent="0.3">
      <c r="A82" s="1">
        <v>43132</v>
      </c>
      <c r="B82">
        <v>4.3299999999999998E-2</v>
      </c>
      <c r="C82">
        <v>275450</v>
      </c>
      <c r="D82">
        <v>2375</v>
      </c>
      <c r="E82">
        <v>729</v>
      </c>
      <c r="F82">
        <v>63180</v>
      </c>
      <c r="G82">
        <f t="shared" si="1"/>
        <v>56857.986719172746</v>
      </c>
      <c r="H82" s="2">
        <f>(G82-G94)/G94</f>
        <v>8.8821714622657477E-2</v>
      </c>
    </row>
    <row r="83" spans="1:8" x14ac:dyDescent="0.3">
      <c r="A83" s="1">
        <v>43101</v>
      </c>
      <c r="B83">
        <v>4.0325E-2</v>
      </c>
      <c r="C83">
        <v>269740</v>
      </c>
      <c r="D83">
        <v>2375</v>
      </c>
      <c r="E83">
        <v>729</v>
      </c>
      <c r="F83">
        <v>63180</v>
      </c>
      <c r="G83">
        <f t="shared" si="1"/>
        <v>54303.198338733506</v>
      </c>
      <c r="H83" s="2">
        <f>(G83-G95)/G95</f>
        <v>6.014853152139623E-2</v>
      </c>
    </row>
    <row r="84" spans="1:8" x14ac:dyDescent="0.3">
      <c r="A84" s="1">
        <v>43070</v>
      </c>
      <c r="B84">
        <v>3.95E-2</v>
      </c>
      <c r="C84">
        <v>269900</v>
      </c>
      <c r="D84">
        <v>2279</v>
      </c>
      <c r="E84">
        <v>697</v>
      </c>
      <c r="F84">
        <v>61255</v>
      </c>
      <c r="G84">
        <f t="shared" si="1"/>
        <v>53466.383988514273</v>
      </c>
      <c r="H84" s="2">
        <f>(G84-G96)/G96</f>
        <v>4.5628532055311297E-2</v>
      </c>
    </row>
    <row r="85" spans="1:8" x14ac:dyDescent="0.3">
      <c r="A85" s="1">
        <v>43040</v>
      </c>
      <c r="B85">
        <v>3.9219999999999998E-2</v>
      </c>
      <c r="C85">
        <v>274440</v>
      </c>
      <c r="D85">
        <v>2279</v>
      </c>
      <c r="E85">
        <v>697</v>
      </c>
      <c r="F85">
        <v>61255</v>
      </c>
      <c r="G85">
        <f t="shared" si="1"/>
        <v>54048.85910684416</v>
      </c>
      <c r="H85" s="2">
        <f>(G85-G97)/G97</f>
        <v>9.1291364830584282E-2</v>
      </c>
    </row>
    <row r="86" spans="1:8" x14ac:dyDescent="0.3">
      <c r="A86" s="1">
        <v>43009</v>
      </c>
      <c r="B86">
        <v>3.8949999999999999E-2</v>
      </c>
      <c r="C86">
        <v>275000</v>
      </c>
      <c r="D86">
        <v>2279</v>
      </c>
      <c r="E86">
        <v>697</v>
      </c>
      <c r="F86">
        <v>61255</v>
      </c>
      <c r="G86">
        <f t="shared" si="1"/>
        <v>53994.198196693636</v>
      </c>
      <c r="H86" s="2">
        <f>(G86-G98)/G98</f>
        <v>0.11603310958325586</v>
      </c>
    </row>
    <row r="87" spans="1:8" x14ac:dyDescent="0.3">
      <c r="A87" s="1">
        <v>42979</v>
      </c>
      <c r="B87">
        <v>3.805E-2</v>
      </c>
      <c r="C87">
        <v>275000</v>
      </c>
      <c r="D87">
        <v>2279</v>
      </c>
      <c r="E87">
        <v>697</v>
      </c>
      <c r="F87">
        <v>61255</v>
      </c>
      <c r="G87">
        <f t="shared" si="1"/>
        <v>53513.629725210645</v>
      </c>
      <c r="H87" s="2">
        <f>(G87-G99)/G99</f>
        <v>0.10720499103771967</v>
      </c>
    </row>
    <row r="88" spans="1:8" x14ac:dyDescent="0.3">
      <c r="A88" s="1">
        <v>42948</v>
      </c>
      <c r="B88">
        <v>3.8800000000000001E-2</v>
      </c>
      <c r="C88">
        <v>275000</v>
      </c>
      <c r="D88">
        <v>2279</v>
      </c>
      <c r="E88">
        <v>697</v>
      </c>
      <c r="F88">
        <v>61255</v>
      </c>
      <c r="G88">
        <f t="shared" si="1"/>
        <v>53913.912334611668</v>
      </c>
      <c r="H88" s="2">
        <f>(G88-G100)/G100</f>
        <v>0.1173253612796679</v>
      </c>
    </row>
    <row r="89" spans="1:8" x14ac:dyDescent="0.3">
      <c r="A89" s="1">
        <v>42917</v>
      </c>
      <c r="B89">
        <v>3.9675000000000002E-2</v>
      </c>
      <c r="C89">
        <v>279000</v>
      </c>
      <c r="D89">
        <v>2279</v>
      </c>
      <c r="E89">
        <v>697</v>
      </c>
      <c r="F89">
        <v>61255</v>
      </c>
      <c r="G89">
        <f t="shared" si="1"/>
        <v>55030.059391380833</v>
      </c>
      <c r="H89" s="2">
        <f>(G89-G101)/G101</f>
        <v>0.12669860668274893</v>
      </c>
    </row>
    <row r="90" spans="1:8" x14ac:dyDescent="0.3">
      <c r="A90" s="1">
        <v>42887</v>
      </c>
      <c r="B90">
        <v>3.9039999999999998E-2</v>
      </c>
      <c r="C90">
        <v>279000</v>
      </c>
      <c r="D90">
        <v>2279</v>
      </c>
      <c r="E90">
        <v>697</v>
      </c>
      <c r="F90">
        <v>61255</v>
      </c>
      <c r="G90">
        <f t="shared" si="1"/>
        <v>54684.186780681026</v>
      </c>
      <c r="H90" s="2" t="e">
        <f>(G90-G102)/G102</f>
        <v>#DIV/0!</v>
      </c>
    </row>
    <row r="91" spans="1:8" x14ac:dyDescent="0.3">
      <c r="A91" s="1">
        <v>42856</v>
      </c>
      <c r="B91">
        <v>4.0099999999999997E-2</v>
      </c>
      <c r="C91">
        <v>277488</v>
      </c>
      <c r="D91">
        <v>2279</v>
      </c>
      <c r="E91">
        <v>697</v>
      </c>
      <c r="F91">
        <v>61255</v>
      </c>
      <c r="G91">
        <f t="shared" si="1"/>
        <v>55016.593855302155</v>
      </c>
      <c r="H91" s="2" t="e">
        <f>(G91-G103)/G103</f>
        <v>#DIV/0!</v>
      </c>
    </row>
    <row r="92" spans="1:8" x14ac:dyDescent="0.3">
      <c r="A92" s="1">
        <v>42826</v>
      </c>
      <c r="B92">
        <v>4.045E-2</v>
      </c>
      <c r="C92">
        <v>270000</v>
      </c>
      <c r="D92">
        <v>2279</v>
      </c>
      <c r="E92">
        <v>697</v>
      </c>
      <c r="F92">
        <v>61255</v>
      </c>
      <c r="G92">
        <f t="shared" si="1"/>
        <v>53985.215590995118</v>
      </c>
      <c r="H92" s="2" t="e">
        <f>(G92-G104)/G104</f>
        <v>#DIV/0!</v>
      </c>
    </row>
    <row r="93" spans="1:8" x14ac:dyDescent="0.3">
      <c r="A93" s="1">
        <v>42795</v>
      </c>
      <c r="B93">
        <v>4.1959999999999997E-2</v>
      </c>
      <c r="C93">
        <v>264450</v>
      </c>
      <c r="D93">
        <v>2279</v>
      </c>
      <c r="E93">
        <v>697</v>
      </c>
      <c r="F93">
        <v>61255</v>
      </c>
      <c r="G93">
        <f t="shared" si="1"/>
        <v>53868.012317357476</v>
      </c>
      <c r="H93" s="2" t="e">
        <f>(G93-G105)/G105</f>
        <v>#DIV/0!</v>
      </c>
    </row>
    <row r="94" spans="1:8" x14ac:dyDescent="0.3">
      <c r="A94" s="1">
        <v>42767</v>
      </c>
      <c r="B94">
        <v>4.1674999999999997E-2</v>
      </c>
      <c r="C94">
        <v>255400</v>
      </c>
      <c r="D94">
        <v>2279</v>
      </c>
      <c r="E94">
        <v>697</v>
      </c>
      <c r="F94">
        <v>61255</v>
      </c>
      <c r="G94">
        <f t="shared" si="1"/>
        <v>52219.739885402152</v>
      </c>
      <c r="H94" s="2" t="e">
        <f>(G94-G106)/G106</f>
        <v>#DIV/0!</v>
      </c>
    </row>
    <row r="95" spans="1:8" x14ac:dyDescent="0.3">
      <c r="A95" s="1">
        <v>42736</v>
      </c>
      <c r="B95">
        <v>4.1500000000000002E-2</v>
      </c>
      <c r="C95">
        <v>249900</v>
      </c>
      <c r="D95">
        <v>2279</v>
      </c>
      <c r="E95">
        <v>697</v>
      </c>
      <c r="F95">
        <v>61255</v>
      </c>
      <c r="G95">
        <f t="shared" si="1"/>
        <v>51222.254923849359</v>
      </c>
      <c r="H95" s="2" t="e">
        <f>(G95-G107)/G107</f>
        <v>#DIV/0!</v>
      </c>
    </row>
    <row r="96" spans="1:8" x14ac:dyDescent="0.3">
      <c r="A96" s="1">
        <v>42705</v>
      </c>
      <c r="B96">
        <v>4.1980000000000003E-2</v>
      </c>
      <c r="C96">
        <v>249900</v>
      </c>
      <c r="D96">
        <v>2197</v>
      </c>
      <c r="E96">
        <v>681</v>
      </c>
      <c r="F96">
        <v>59040</v>
      </c>
      <c r="G96">
        <f t="shared" si="1"/>
        <v>51133.248901901643</v>
      </c>
      <c r="H96" s="2" t="e">
        <f>(G96-G108)/G108</f>
        <v>#DIV/0!</v>
      </c>
    </row>
    <row r="97" spans="1:8" x14ac:dyDescent="0.3">
      <c r="A97" s="1">
        <v>42675</v>
      </c>
      <c r="B97">
        <v>3.7699999999999997E-2</v>
      </c>
      <c r="C97">
        <v>252995</v>
      </c>
      <c r="D97">
        <v>2197</v>
      </c>
      <c r="E97">
        <v>681</v>
      </c>
      <c r="F97">
        <v>59040</v>
      </c>
      <c r="G97">
        <f t="shared" si="1"/>
        <v>49527.432222681324</v>
      </c>
      <c r="H97" s="2" t="e">
        <f>(G97-G109)/G109</f>
        <v>#DIV/0!</v>
      </c>
    </row>
    <row r="98" spans="1:8" x14ac:dyDescent="0.3">
      <c r="A98" s="1">
        <v>42644</v>
      </c>
      <c r="B98">
        <v>3.4700000000000002E-2</v>
      </c>
      <c r="C98">
        <v>255000</v>
      </c>
      <c r="D98">
        <v>2197</v>
      </c>
      <c r="E98">
        <v>681</v>
      </c>
      <c r="F98">
        <v>59040</v>
      </c>
      <c r="G98">
        <f t="shared" si="1"/>
        <v>48380.462670015149</v>
      </c>
      <c r="H98" s="2" t="e">
        <f>(G98-G110)/G110</f>
        <v>#DIV/0!</v>
      </c>
    </row>
    <row r="99" spans="1:8" x14ac:dyDescent="0.3">
      <c r="A99" s="1">
        <v>42614</v>
      </c>
      <c r="B99">
        <v>3.4599999999999999E-2</v>
      </c>
      <c r="C99">
        <v>255000</v>
      </c>
      <c r="D99">
        <v>2197</v>
      </c>
      <c r="E99">
        <v>681</v>
      </c>
      <c r="F99">
        <v>59040</v>
      </c>
      <c r="G99">
        <f t="shared" si="1"/>
        <v>48332.178917524019</v>
      </c>
      <c r="H99" s="2" t="e">
        <f>(G99-G111)/G111</f>
        <v>#DIV/0!</v>
      </c>
    </row>
    <row r="100" spans="1:8" x14ac:dyDescent="0.3">
      <c r="A100" s="1">
        <v>42583</v>
      </c>
      <c r="B100">
        <v>3.4349999999999999E-2</v>
      </c>
      <c r="C100">
        <v>255271</v>
      </c>
      <c r="D100">
        <v>2197</v>
      </c>
      <c r="E100">
        <v>681</v>
      </c>
      <c r="F100">
        <v>59040</v>
      </c>
      <c r="G100">
        <f t="shared" si="1"/>
        <v>48252.652452875765</v>
      </c>
      <c r="H100" s="2" t="e">
        <f>(G100-G112)/G112</f>
        <v>#DIV/0!</v>
      </c>
    </row>
    <row r="101" spans="1:8" x14ac:dyDescent="0.3">
      <c r="A101" s="1">
        <v>42552</v>
      </c>
      <c r="B101">
        <v>3.44E-2</v>
      </c>
      <c r="C101">
        <v>259000</v>
      </c>
      <c r="D101">
        <v>2197</v>
      </c>
      <c r="E101">
        <v>681</v>
      </c>
      <c r="F101">
        <v>59040</v>
      </c>
      <c r="G101">
        <f t="shared" si="1"/>
        <v>48841.863356342968</v>
      </c>
      <c r="H101" s="2" t="e">
        <f>(G101-G113)/G113</f>
        <v>#DIV/0!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IncomeRequired</vt:lpstr>
      <vt:lpstr>IncomeRequiredYoY</vt:lpstr>
      <vt:lpstr>Dashboard</vt:lpstr>
      <vt:lpstr>USDW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Lee</dc:creator>
  <cp:lastModifiedBy>LeeEunchan</cp:lastModifiedBy>
  <dcterms:created xsi:type="dcterms:W3CDTF">2024-12-05T16:01:48Z</dcterms:created>
  <dcterms:modified xsi:type="dcterms:W3CDTF">2024-12-05T17:06:20Z</dcterms:modified>
</cp:coreProperties>
</file>