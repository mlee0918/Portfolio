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mlee9\Desktop\BUS 340\Course Review\"/>
    </mc:Choice>
  </mc:AlternateContent>
  <xr:revisionPtr revIDLastSave="0" documentId="13_ncr:1_{AA61BD69-542C-4C26-991F-81D2639E2380}" xr6:coauthVersionLast="47" xr6:coauthVersionMax="47" xr10:uidLastSave="{00000000-0000-0000-0000-000000000000}"/>
  <bookViews>
    <workbookView xWindow="-108" yWindow="-108" windowWidth="23256" windowHeight="12576" xr2:uid="{00000000-000D-0000-FFFF-FFFF00000000}"/>
  </bookViews>
  <sheets>
    <sheet name="h05" sheetId="1" r:id="rId1"/>
  </sheets>
  <definedNames>
    <definedName name="_xlnm.Print_Area" localSheetId="0">'h05'!$A$1:$F$68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10" i="1"/>
  <c r="J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J33" i="1" s="1"/>
  <c r="G48" i="1"/>
  <c r="G49" i="1"/>
  <c r="G50" i="1"/>
  <c r="G51" i="1"/>
  <c r="G52" i="1"/>
  <c r="G53" i="1"/>
  <c r="G54" i="1"/>
  <c r="G55" i="1"/>
  <c r="G56" i="1"/>
  <c r="G57" i="1"/>
  <c r="G58" i="1"/>
  <c r="G59" i="1"/>
  <c r="G60" i="1"/>
  <c r="G61" i="1"/>
  <c r="G62" i="1"/>
  <c r="G63" i="1"/>
  <c r="G64" i="1"/>
  <c r="G65" i="1"/>
  <c r="G66" i="1"/>
  <c r="G67" i="1"/>
  <c r="G68" i="1"/>
  <c r="G10" i="1"/>
  <c r="J12" i="1" s="1"/>
  <c r="J59" i="1" l="1"/>
  <c r="J47" i="1"/>
  <c r="J35" i="1"/>
  <c r="J23" i="1"/>
  <c r="J58" i="1"/>
  <c r="J46" i="1"/>
  <c r="J34" i="1"/>
  <c r="J22" i="1"/>
  <c r="J21" i="1"/>
  <c r="J11" i="1"/>
  <c r="J56" i="1"/>
  <c r="J44" i="1"/>
  <c r="J32" i="1"/>
  <c r="J20" i="1"/>
  <c r="J57" i="1"/>
  <c r="J67" i="1"/>
  <c r="J55" i="1"/>
  <c r="J43" i="1"/>
  <c r="J31" i="1"/>
  <c r="J19" i="1"/>
  <c r="J66" i="1"/>
  <c r="J54" i="1"/>
  <c r="J42" i="1"/>
  <c r="J30" i="1"/>
  <c r="J18" i="1"/>
  <c r="J45" i="1"/>
  <c r="J65" i="1"/>
  <c r="J53" i="1"/>
  <c r="J41" i="1"/>
  <c r="J29" i="1"/>
  <c r="J17" i="1"/>
  <c r="J64" i="1"/>
  <c r="J52" i="1"/>
  <c r="J40" i="1"/>
  <c r="J28" i="1"/>
  <c r="J16" i="1"/>
  <c r="J63" i="1"/>
  <c r="J51" i="1"/>
  <c r="J39" i="1"/>
  <c r="J27" i="1"/>
  <c r="J15" i="1"/>
  <c r="J62" i="1"/>
  <c r="J50" i="1"/>
  <c r="J38" i="1"/>
  <c r="J26" i="1"/>
  <c r="J14" i="1"/>
  <c r="J61" i="1"/>
  <c r="J49" i="1"/>
  <c r="J37" i="1"/>
  <c r="J25" i="1"/>
  <c r="J13" i="1"/>
  <c r="J60" i="1"/>
  <c r="J48" i="1"/>
  <c r="J36" i="1"/>
  <c r="J24" i="1"/>
</calcChain>
</file>

<file path=xl/sharedStrings.xml><?xml version="1.0" encoding="utf-8"?>
<sst xmlns="http://schemas.openxmlformats.org/spreadsheetml/2006/main" count="105" uniqueCount="102">
  <si>
    <t>Table with row headers in column A and column headers in rows 8 through 9, 70 through 71, 97 through 98, 135 through 136, 162 through 163, 195 through 196, 222 through 223, 249 through 250, 287 through 288, 314 through 315, 341 through 342, and 359 through 360</t>
  </si>
  <si>
    <t>Table H-5. Race and Hispanic Origin of Householder--Households by Median and Mean Income: 1967 to 2023</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</si>
  <si>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https://www2.census.gov/programs-surveys/cps/techdocs/cpsmar24.pdf</t>
    </r>
    <r>
      <rPr>
        <sz val="9"/>
        <color theme="1"/>
        <rFont val="Arial"/>
        <family val="2"/>
      </rPr>
      <t>&gt;.</t>
    </r>
  </si>
  <si>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</si>
  <si>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1968 to 2024 Annual Social and Economic Supplements (CPS ASEC).</t>
  </si>
  <si>
    <t>(Households as of March of the following year. Income in current and 2023 C-CPI-U (2000-2023) and R-CPI-U-RS (pre-2000) adjusted dollars (28))</t>
  </si>
  <si>
    <t>All Races</t>
  </si>
  <si>
    <t>Number (thousands)</t>
  </si>
  <si>
    <t>Median income</t>
  </si>
  <si>
    <t>Current
dollars</t>
  </si>
  <si>
    <t>2023
dollars</t>
  </si>
  <si>
    <t>Mean income</t>
  </si>
  <si>
    <t>Race, Hispanic origin, and year</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</si>
  <si>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</si>
  <si>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</si>
  <si>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</si>
  <si>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</si>
  <si>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</si>
  <si>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</si>
  <si>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</si>
  <si>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</si>
  <si>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</si>
  <si>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</si>
  <si>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</si>
  <si>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</si>
  <si>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</si>
  <si>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</si>
  <si>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</si>
  <si>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</si>
  <si>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</si>
  <si>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</si>
  <si>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</si>
  <si>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</si>
  <si>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</si>
  <si>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</si>
  <si>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</si>
  <si>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</si>
  <si>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</si>
  <si>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</si>
  <si>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</si>
  <si>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</si>
  <si>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</si>
  <si>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</si>
  <si>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</si>
  <si>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</si>
  <si>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</si>
  <si>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</si>
  <si>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</si>
  <si>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</si>
  <si>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</si>
  <si>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</si>
  <si>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</si>
  <si>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</si>
  <si>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</si>
  <si>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</si>
  <si>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</si>
  <si>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</si>
  <si>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</si>
  <si>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</si>
  <si>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</si>
  <si>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</si>
  <si>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</si>
  <si>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</si>
  <si>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</si>
  <si>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</si>
  <si>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</si>
  <si>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</si>
  <si>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</si>
  <si>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</si>
  <si>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</si>
  <si>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</si>
  <si>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</si>
  <si>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Year</t>
  </si>
  <si>
    <t>2020</t>
  </si>
  <si>
    <t>2013</t>
  </si>
  <si>
    <t>2010</t>
  </si>
  <si>
    <t>2009</t>
  </si>
  <si>
    <t>2004</t>
  </si>
  <si>
    <t>2000</t>
  </si>
  <si>
    <t>1999</t>
  </si>
  <si>
    <t>1995</t>
  </si>
  <si>
    <t>1994</t>
  </si>
  <si>
    <t>1993</t>
  </si>
  <si>
    <t>1992</t>
  </si>
  <si>
    <t>1987</t>
  </si>
  <si>
    <t>1985</t>
  </si>
  <si>
    <t>1984</t>
  </si>
  <si>
    <t>1979</t>
  </si>
  <si>
    <t>1976</t>
  </si>
  <si>
    <t>1975</t>
  </si>
  <si>
    <t>1974</t>
  </si>
  <si>
    <t>1972</t>
  </si>
  <si>
    <t>1971</t>
  </si>
  <si>
    <t>1967</t>
  </si>
  <si>
    <t>Income</t>
  </si>
  <si>
    <t>DROP TABLE IF EXISTS USMedianIncome;</t>
  </si>
  <si>
    <t>CREATE TABLE USMedianIncome(</t>
  </si>
  <si>
    <t>Year INTEGER,</t>
  </si>
  <si>
    <t>Income REAL,</t>
  </si>
  <si>
    <t>PRIMARY KEY (YEAR)</t>
  </si>
  <si>
    <t>);</t>
  </si>
  <si>
    <t>INSERT INTO USMedianIncome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</si>
</sst>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u/>
      <sz val="9"/>
      <color theme="1"/>
      <name val="Arial"/>
      <family val="2"/>
    </font>
  </fonts>
  <fills count="4">
    <fill>
      <patternFill patternType="none"/>
    </fill>
    <fill>
      <patternFill patternType="gray125"/>
    </fill>
    <fill>
      <patternFill patternType="solid">
        <fgColor rgb="FF99CCFF"/>
        <bgColor indexed="64"/>
      </patternFill>
    </fill>
    <fill>
      <patternFill patternType="solid">
        <fgColor theme="0"/>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AAC1D9"/>
      </left>
      <right style="thin">
        <color rgb="FFAAC1D9"/>
      </right>
      <top/>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3" fillId="3" borderId="0" xfId="0" applyFont="1" applyFill="1" applyBorder="1" applyAlignment="1">
      <alignment horizontal="left" vertical="center" wrapText="1"/>
    </xf>
    <xf numFmtId="0" fontId="0" fillId="3" borderId="0" xfId="0" applyFont="1" applyFill="1" applyBorder="1" applyAlignment="1">
      <alignment horizontal="left" vertical="center" wrapText="1"/>
    </xf>
    <xf numFmtId="0" fontId="3" fillId="3" borderId="0"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topics/income-poverty/income/guidance/cps-historic-footnotes.html" TargetMode="External"/><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0"/>
  <sheetViews>
    <sheetView showGridLines="0" tabSelected="1" workbookViewId="0">
      <selection activeCell="I10" sqref="I10"/>
    </sheetView>
  </sheetViews>
  <sheetFormatPr defaultRowHeight="14.4" x14ac:dyDescent="0.3"/>
  <cols>
    <col min="1" max="1" width="26.6640625" customWidth="1"/>
    <col min="2" max="7" width="14.88671875" customWidth="1"/>
    <col min="11" max="11" width="35" bestFit="1" customWidth="1"/>
  </cols>
  <sheetData>
    <row r="1" spans="1:11" ht="3" customHeight="1" x14ac:dyDescent="0.3">
      <c r="A1" s="4" t="s">
        <v>0</v>
      </c>
      <c r="B1" s="4"/>
      <c r="C1" s="4"/>
      <c r="D1" s="4"/>
      <c r="E1" s="4"/>
      <c r="F1" s="4"/>
    </row>
    <row r="2" spans="1:11" ht="30" customHeight="1" x14ac:dyDescent="0.3">
      <c r="A2" s="5" t="s">
        <v>1</v>
      </c>
      <c r="B2" s="5"/>
      <c r="C2" s="5"/>
      <c r="D2" s="5"/>
      <c r="E2" s="5"/>
      <c r="F2" s="5"/>
    </row>
    <row r="3" spans="1:11" ht="27" customHeight="1" x14ac:dyDescent="0.3">
      <c r="A3" s="6" t="s">
        <v>2</v>
      </c>
      <c r="B3" s="6"/>
      <c r="C3" s="6"/>
      <c r="D3" s="6"/>
      <c r="E3" s="6"/>
      <c r="F3" s="6"/>
      <c r="K3" t="s">
        <v>95</v>
      </c>
    </row>
    <row r="4" spans="1:11" x14ac:dyDescent="0.3">
      <c r="A4" s="6" t="s">
        <v>3</v>
      </c>
      <c r="B4" s="6"/>
      <c r="C4" s="6"/>
      <c r="D4" s="6"/>
      <c r="E4" s="6"/>
      <c r="F4" s="6"/>
      <c r="K4" t="s">
        <v>96</v>
      </c>
    </row>
    <row r="5" spans="1:11" x14ac:dyDescent="0.3">
      <c r="A5" s="6" t="s">
        <v>4</v>
      </c>
      <c r="B5" s="6"/>
      <c r="C5" s="6"/>
      <c r="D5" s="6"/>
      <c r="E5" s="6"/>
      <c r="F5" s="6"/>
      <c r="K5" t="s">
        <v>97</v>
      </c>
    </row>
    <row r="6" spans="1:11" ht="27" customHeight="1" x14ac:dyDescent="0.3">
      <c r="A6" s="6" t="s">
        <v>5</v>
      </c>
      <c r="B6" s="6"/>
      <c r="C6" s="6"/>
      <c r="D6" s="6"/>
      <c r="E6" s="6"/>
      <c r="F6" s="6"/>
      <c r="K6" t="s">
        <v>98</v>
      </c>
    </row>
    <row r="7" spans="1:11" x14ac:dyDescent="0.3">
      <c r="A7" s="7" t="s">
        <v>6</v>
      </c>
      <c r="B7" s="7"/>
      <c r="C7" s="7"/>
      <c r="D7" s="7"/>
      <c r="E7" s="7"/>
      <c r="F7" s="7"/>
      <c r="K7" t="s">
        <v>99</v>
      </c>
    </row>
    <row r="8" spans="1:11" ht="24" customHeight="1" x14ac:dyDescent="0.3">
      <c r="A8" s="8" t="s">
        <v>12</v>
      </c>
      <c r="B8" s="8" t="s">
        <v>7</v>
      </c>
      <c r="C8" s="8" t="s">
        <v>8</v>
      </c>
      <c r="D8" s="8"/>
      <c r="E8" s="8" t="s">
        <v>11</v>
      </c>
      <c r="F8" s="8"/>
      <c r="K8" s="11" t="s">
        <v>100</v>
      </c>
    </row>
    <row r="9" spans="1:11" ht="24" customHeight="1" x14ac:dyDescent="0.3">
      <c r="A9" s="8"/>
      <c r="B9" s="8"/>
      <c r="C9" s="1" t="s">
        <v>9</v>
      </c>
      <c r="D9" s="1" t="s">
        <v>10</v>
      </c>
      <c r="E9" s="1" t="s">
        <v>9</v>
      </c>
      <c r="F9" s="1" t="s">
        <v>10</v>
      </c>
      <c r="G9" s="9" t="s">
        <v>72</v>
      </c>
      <c r="I9" s="10" t="s">
        <v>72</v>
      </c>
      <c r="J9" s="10" t="s">
        <v>94</v>
      </c>
      <c r="K9" s="13" t="s">
        <v>101</v>
      </c>
    </row>
    <row r="10" spans="1:11" x14ac:dyDescent="0.3">
      <c r="A10" s="2">
        <v>2023</v>
      </c>
      <c r="B10" s="3">
        <v>132200</v>
      </c>
      <c r="C10" s="3">
        <v>80610</v>
      </c>
      <c r="D10" s="3">
        <v>80610</v>
      </c>
      <c r="E10" s="3">
        <v>114500</v>
      </c>
      <c r="F10" s="3">
        <v>114500</v>
      </c>
      <c r="G10" t="str">
        <f>LEFT(A10,4)</f>
        <v>2023</v>
      </c>
      <c r="I10" s="12">
        <v>2024</v>
      </c>
      <c r="J10">
        <f>2*J11-J12</f>
        <v>86640</v>
      </c>
      <c r="K10" t="str">
        <f>"("&amp;I10&amp;","&amp;J10&amp;")"&amp;IF(LEN(I11)+LEN(J11)&gt;0,",",";")</f>
        <v>(2024,86640),</v>
      </c>
    </row>
    <row r="11" spans="1:11" x14ac:dyDescent="0.3">
      <c r="A11" s="2">
        <v>2022</v>
      </c>
      <c r="B11" s="3">
        <v>131400</v>
      </c>
      <c r="C11" s="3">
        <v>74580</v>
      </c>
      <c r="D11" s="3">
        <v>77540</v>
      </c>
      <c r="E11" s="3">
        <v>106400</v>
      </c>
      <c r="F11" s="3">
        <v>110600</v>
      </c>
      <c r="G11" t="str">
        <f t="shared" ref="G11:G68" si="0">LEFT(A11,4)</f>
        <v>2022</v>
      </c>
      <c r="I11" t="s">
        <v>13</v>
      </c>
      <c r="J11">
        <f>AVERAGEIFS(C:C,G:G,I11)</f>
        <v>80610</v>
      </c>
      <c r="K11" t="str">
        <f t="shared" ref="K11:K67" si="1">"("&amp;I11&amp;","&amp;J11&amp;")"&amp;IF(LEN(I12)+LEN(J12)&gt;0,",",";")</f>
        <v>(2023,80610),</v>
      </c>
    </row>
    <row r="12" spans="1:11" x14ac:dyDescent="0.3">
      <c r="A12" s="2">
        <v>2021</v>
      </c>
      <c r="B12" s="3">
        <v>131200</v>
      </c>
      <c r="C12" s="3">
        <v>70780</v>
      </c>
      <c r="D12" s="3">
        <v>79260</v>
      </c>
      <c r="E12" s="3">
        <v>102300</v>
      </c>
      <c r="F12" s="3">
        <v>114600</v>
      </c>
      <c r="G12" t="str">
        <f t="shared" si="0"/>
        <v>2021</v>
      </c>
      <c r="I12" t="s">
        <v>14</v>
      </c>
      <c r="J12">
        <f>AVERAGEIFS(C:C,G:G,I12)</f>
        <v>74580</v>
      </c>
      <c r="K12" t="str">
        <f t="shared" si="1"/>
        <v>(2022,74580),</v>
      </c>
    </row>
    <row r="13" spans="1:11" x14ac:dyDescent="0.3">
      <c r="A13" s="2" t="s">
        <v>16</v>
      </c>
      <c r="B13" s="3">
        <v>129200</v>
      </c>
      <c r="C13" s="3">
        <v>68010</v>
      </c>
      <c r="D13" s="3">
        <v>79560</v>
      </c>
      <c r="E13" s="3">
        <v>97470</v>
      </c>
      <c r="F13" s="3">
        <v>114000</v>
      </c>
      <c r="G13" t="str">
        <f t="shared" si="0"/>
        <v>2020</v>
      </c>
      <c r="I13" t="s">
        <v>15</v>
      </c>
      <c r="J13">
        <f>AVERAGEIFS(C:C,G:G,I13)</f>
        <v>70780</v>
      </c>
      <c r="K13" t="str">
        <f t="shared" si="1"/>
        <v>(2021,70780),</v>
      </c>
    </row>
    <row r="14" spans="1:11" x14ac:dyDescent="0.3">
      <c r="A14" s="2">
        <v>2019</v>
      </c>
      <c r="B14" s="3">
        <v>128500</v>
      </c>
      <c r="C14" s="3">
        <v>68700</v>
      </c>
      <c r="D14" s="3">
        <v>81210</v>
      </c>
      <c r="E14" s="3">
        <v>98090</v>
      </c>
      <c r="F14" s="3">
        <v>115900</v>
      </c>
      <c r="G14" t="str">
        <f t="shared" si="0"/>
        <v>2019</v>
      </c>
      <c r="I14" t="s">
        <v>73</v>
      </c>
      <c r="J14">
        <f>AVERAGEIFS(C:C,G:G,I14)</f>
        <v>68010</v>
      </c>
      <c r="K14" t="str">
        <f t="shared" si="1"/>
        <v>(2020,68010),</v>
      </c>
    </row>
    <row r="15" spans="1:11" x14ac:dyDescent="0.3">
      <c r="A15" s="2">
        <v>2018</v>
      </c>
      <c r="B15" s="3">
        <v>128600</v>
      </c>
      <c r="C15" s="3">
        <v>63180</v>
      </c>
      <c r="D15" s="3">
        <v>75790</v>
      </c>
      <c r="E15" s="3">
        <v>90020</v>
      </c>
      <c r="F15" s="3">
        <v>108000</v>
      </c>
      <c r="G15" t="str">
        <f t="shared" si="0"/>
        <v>2018</v>
      </c>
      <c r="I15" t="s">
        <v>17</v>
      </c>
      <c r="J15">
        <f>AVERAGEIFS(C:C,G:G,I15)</f>
        <v>68700</v>
      </c>
      <c r="K15" t="str">
        <f t="shared" si="1"/>
        <v>(2019,68700),</v>
      </c>
    </row>
    <row r="16" spans="1:11" x14ac:dyDescent="0.3">
      <c r="A16" s="2" t="s">
        <v>19</v>
      </c>
      <c r="B16" s="3">
        <v>127700</v>
      </c>
      <c r="C16" s="3">
        <v>61140</v>
      </c>
      <c r="D16" s="3">
        <v>74810</v>
      </c>
      <c r="E16" s="3">
        <v>87640</v>
      </c>
      <c r="F16" s="3">
        <v>107300</v>
      </c>
      <c r="G16" t="str">
        <f t="shared" si="0"/>
        <v>2017</v>
      </c>
      <c r="I16" t="s">
        <v>18</v>
      </c>
      <c r="J16">
        <f>AVERAGEIFS(C:C,G:G,I16)</f>
        <v>63180</v>
      </c>
      <c r="K16" t="str">
        <f t="shared" si="1"/>
        <v>(2018,63180),</v>
      </c>
    </row>
    <row r="17" spans="1:11" x14ac:dyDescent="0.3">
      <c r="A17" s="2">
        <v>2017</v>
      </c>
      <c r="B17" s="3">
        <v>127600</v>
      </c>
      <c r="C17" s="3">
        <v>61370</v>
      </c>
      <c r="D17" s="3">
        <v>75100</v>
      </c>
      <c r="E17" s="3">
        <v>86220</v>
      </c>
      <c r="F17" s="3">
        <v>105500</v>
      </c>
      <c r="G17" t="str">
        <f t="shared" si="0"/>
        <v>2017</v>
      </c>
      <c r="I17" t="s">
        <v>20</v>
      </c>
      <c r="J17">
        <f>AVERAGEIFS(C:C,G:G,I17)</f>
        <v>61255</v>
      </c>
      <c r="K17" t="str">
        <f t="shared" si="1"/>
        <v>(2017,61255),</v>
      </c>
    </row>
    <row r="18" spans="1:11" x14ac:dyDescent="0.3">
      <c r="A18" s="2">
        <v>2016</v>
      </c>
      <c r="B18" s="3">
        <v>126200</v>
      </c>
      <c r="C18" s="3">
        <v>59040</v>
      </c>
      <c r="D18" s="3">
        <v>73520</v>
      </c>
      <c r="E18" s="3">
        <v>83140</v>
      </c>
      <c r="F18" s="3">
        <v>103500</v>
      </c>
      <c r="G18" t="str">
        <f t="shared" si="0"/>
        <v>2016</v>
      </c>
      <c r="I18" t="s">
        <v>21</v>
      </c>
      <c r="J18">
        <f>AVERAGEIFS(C:C,G:G,I18)</f>
        <v>59040</v>
      </c>
      <c r="K18" t="str">
        <f t="shared" si="1"/>
        <v>(2016,59040),</v>
      </c>
    </row>
    <row r="19" spans="1:11" x14ac:dyDescent="0.3">
      <c r="A19" s="2">
        <v>2015</v>
      </c>
      <c r="B19" s="3">
        <v>125800</v>
      </c>
      <c r="C19" s="3">
        <v>56520</v>
      </c>
      <c r="D19" s="3">
        <v>71000</v>
      </c>
      <c r="E19" s="3">
        <v>79260</v>
      </c>
      <c r="F19" s="3">
        <v>99580</v>
      </c>
      <c r="G19" t="str">
        <f t="shared" si="0"/>
        <v>2015</v>
      </c>
      <c r="I19" t="s">
        <v>22</v>
      </c>
      <c r="J19">
        <f>AVERAGEIFS(C:C,G:G,I19)</f>
        <v>56520</v>
      </c>
      <c r="K19" t="str">
        <f t="shared" si="1"/>
        <v>(2015,56520),</v>
      </c>
    </row>
    <row r="20" spans="1:11" x14ac:dyDescent="0.3">
      <c r="A20" s="2">
        <v>2014</v>
      </c>
      <c r="B20" s="3">
        <v>124600</v>
      </c>
      <c r="C20" s="3">
        <v>53660</v>
      </c>
      <c r="D20" s="3">
        <v>67360</v>
      </c>
      <c r="E20" s="3">
        <v>75740</v>
      </c>
      <c r="F20" s="3">
        <v>95080</v>
      </c>
      <c r="G20" t="str">
        <f t="shared" si="0"/>
        <v>2014</v>
      </c>
      <c r="I20" t="s">
        <v>23</v>
      </c>
      <c r="J20">
        <f>AVERAGEIFS(C:C,G:G,I20)</f>
        <v>53660</v>
      </c>
      <c r="K20" t="str">
        <f t="shared" si="1"/>
        <v>(2014,53660),</v>
      </c>
    </row>
    <row r="21" spans="1:11" x14ac:dyDescent="0.3">
      <c r="A21" s="2" t="s">
        <v>24</v>
      </c>
      <c r="B21" s="3">
        <v>123900</v>
      </c>
      <c r="C21" s="3">
        <v>53590</v>
      </c>
      <c r="D21" s="3">
        <v>68220</v>
      </c>
      <c r="E21" s="3">
        <v>75200</v>
      </c>
      <c r="F21" s="3">
        <v>95740</v>
      </c>
      <c r="G21" t="str">
        <f t="shared" si="0"/>
        <v>2013</v>
      </c>
      <c r="I21" t="s">
        <v>74</v>
      </c>
      <c r="J21">
        <f>AVERAGEIFS(C:C,G:G,I21)</f>
        <v>52765</v>
      </c>
      <c r="K21" t="str">
        <f t="shared" si="1"/>
        <v>(2013,52765),</v>
      </c>
    </row>
    <row r="22" spans="1:11" x14ac:dyDescent="0.3">
      <c r="A22" s="2" t="s">
        <v>25</v>
      </c>
      <c r="B22" s="3">
        <v>123000</v>
      </c>
      <c r="C22" s="3">
        <v>51940</v>
      </c>
      <c r="D22" s="3">
        <v>66130</v>
      </c>
      <c r="E22" s="3">
        <v>72640</v>
      </c>
      <c r="F22" s="3">
        <v>92490</v>
      </c>
      <c r="G22" t="str">
        <f t="shared" si="0"/>
        <v>2013</v>
      </c>
      <c r="I22" t="s">
        <v>26</v>
      </c>
      <c r="J22">
        <f>AVERAGEIFS(C:C,G:G,I22)</f>
        <v>51020</v>
      </c>
      <c r="K22" t="str">
        <f t="shared" si="1"/>
        <v>(2012,51020),</v>
      </c>
    </row>
    <row r="23" spans="1:11" x14ac:dyDescent="0.3">
      <c r="A23" s="2">
        <v>2012</v>
      </c>
      <c r="B23" s="3">
        <v>122500</v>
      </c>
      <c r="C23" s="3">
        <v>51020</v>
      </c>
      <c r="D23" s="3">
        <v>65740</v>
      </c>
      <c r="E23" s="3">
        <v>71270</v>
      </c>
      <c r="F23" s="3">
        <v>91850</v>
      </c>
      <c r="G23" t="str">
        <f t="shared" si="0"/>
        <v>2012</v>
      </c>
      <c r="I23" t="s">
        <v>27</v>
      </c>
      <c r="J23">
        <f>AVERAGEIFS(C:C,G:G,I23)</f>
        <v>50050</v>
      </c>
      <c r="K23" t="str">
        <f t="shared" si="1"/>
        <v>(2011,50050),</v>
      </c>
    </row>
    <row r="24" spans="1:11" x14ac:dyDescent="0.3">
      <c r="A24" s="2">
        <v>2011</v>
      </c>
      <c r="B24" s="3">
        <v>121100</v>
      </c>
      <c r="C24" s="3">
        <v>50050</v>
      </c>
      <c r="D24" s="3">
        <v>65750</v>
      </c>
      <c r="E24" s="3">
        <v>69680</v>
      </c>
      <c r="F24" s="3">
        <v>91520</v>
      </c>
      <c r="G24" t="str">
        <f t="shared" si="0"/>
        <v>2011</v>
      </c>
      <c r="I24" t="s">
        <v>75</v>
      </c>
      <c r="J24">
        <f>AVERAGEIFS(C:C,G:G,I24)</f>
        <v>49280</v>
      </c>
      <c r="K24" t="str">
        <f t="shared" si="1"/>
        <v>(2010,49280),</v>
      </c>
    </row>
    <row r="25" spans="1:11" x14ac:dyDescent="0.3">
      <c r="A25" s="2" t="s">
        <v>28</v>
      </c>
      <c r="B25" s="3">
        <v>119900</v>
      </c>
      <c r="C25" s="3">
        <v>49280</v>
      </c>
      <c r="D25" s="3">
        <v>66730</v>
      </c>
      <c r="E25" s="3">
        <v>67390</v>
      </c>
      <c r="F25" s="3">
        <v>91270</v>
      </c>
      <c r="G25" t="str">
        <f t="shared" si="0"/>
        <v>2010</v>
      </c>
      <c r="I25" t="s">
        <v>76</v>
      </c>
      <c r="J25">
        <f>AVERAGEIFS(C:C,G:G,I25)</f>
        <v>49780</v>
      </c>
      <c r="K25" t="str">
        <f t="shared" si="1"/>
        <v>(2009,49780),</v>
      </c>
    </row>
    <row r="26" spans="1:11" x14ac:dyDescent="0.3">
      <c r="A26" s="2" t="s">
        <v>29</v>
      </c>
      <c r="B26" s="3">
        <v>117500</v>
      </c>
      <c r="C26" s="3">
        <v>49780</v>
      </c>
      <c r="D26" s="3">
        <v>68340</v>
      </c>
      <c r="E26" s="3">
        <v>67980</v>
      </c>
      <c r="F26" s="3">
        <v>93320</v>
      </c>
      <c r="G26" t="str">
        <f t="shared" si="0"/>
        <v>2009</v>
      </c>
      <c r="I26" t="s">
        <v>30</v>
      </c>
      <c r="J26">
        <f>AVERAGEIFS(C:C,G:G,I26)</f>
        <v>50300</v>
      </c>
      <c r="K26" t="str">
        <f t="shared" si="1"/>
        <v>(2008,50300),</v>
      </c>
    </row>
    <row r="27" spans="1:11" x14ac:dyDescent="0.3">
      <c r="A27" s="2">
        <v>2008</v>
      </c>
      <c r="B27" s="3">
        <v>117200</v>
      </c>
      <c r="C27" s="3">
        <v>50300</v>
      </c>
      <c r="D27" s="3">
        <v>68780</v>
      </c>
      <c r="E27" s="3">
        <v>68420</v>
      </c>
      <c r="F27" s="3">
        <v>93560</v>
      </c>
      <c r="G27" t="str">
        <f t="shared" si="0"/>
        <v>2008</v>
      </c>
      <c r="I27" t="s">
        <v>31</v>
      </c>
      <c r="J27">
        <f>AVERAGEIFS(C:C,G:G,I27)</f>
        <v>50230</v>
      </c>
      <c r="K27" t="str">
        <f t="shared" si="1"/>
        <v>(2007,50230),</v>
      </c>
    </row>
    <row r="28" spans="1:11" x14ac:dyDescent="0.3">
      <c r="A28" s="2">
        <v>2007</v>
      </c>
      <c r="B28" s="3">
        <v>116800</v>
      </c>
      <c r="C28" s="3">
        <v>50230</v>
      </c>
      <c r="D28" s="3">
        <v>71210</v>
      </c>
      <c r="E28" s="3">
        <v>67610</v>
      </c>
      <c r="F28" s="3">
        <v>95840</v>
      </c>
      <c r="G28" t="str">
        <f t="shared" si="0"/>
        <v>2007</v>
      </c>
      <c r="I28" t="s">
        <v>32</v>
      </c>
      <c r="J28">
        <f>AVERAGEIFS(C:C,G:G,I28)</f>
        <v>48200</v>
      </c>
      <c r="K28" t="str">
        <f t="shared" si="1"/>
        <v>(2006,48200),</v>
      </c>
    </row>
    <row r="29" spans="1:11" x14ac:dyDescent="0.3">
      <c r="A29" s="2">
        <v>2006</v>
      </c>
      <c r="B29" s="3">
        <v>116000</v>
      </c>
      <c r="C29" s="3">
        <v>48200</v>
      </c>
      <c r="D29" s="3">
        <v>70080</v>
      </c>
      <c r="E29" s="3">
        <v>66570</v>
      </c>
      <c r="F29" s="3">
        <v>96780</v>
      </c>
      <c r="G29" t="str">
        <f t="shared" si="0"/>
        <v>2006</v>
      </c>
      <c r="I29" t="s">
        <v>33</v>
      </c>
      <c r="J29">
        <f>AVERAGEIFS(C:C,G:G,I29)</f>
        <v>46330</v>
      </c>
      <c r="K29" t="str">
        <f t="shared" si="1"/>
        <v>(2005,46330),</v>
      </c>
    </row>
    <row r="30" spans="1:11" x14ac:dyDescent="0.3">
      <c r="A30" s="2">
        <v>2005</v>
      </c>
      <c r="B30" s="3">
        <v>114400</v>
      </c>
      <c r="C30" s="3">
        <v>46330</v>
      </c>
      <c r="D30" s="3">
        <v>69310</v>
      </c>
      <c r="E30" s="3">
        <v>63340</v>
      </c>
      <c r="F30" s="3">
        <v>94770</v>
      </c>
      <c r="G30" t="str">
        <f t="shared" si="0"/>
        <v>2005</v>
      </c>
      <c r="I30" t="s">
        <v>77</v>
      </c>
      <c r="J30">
        <f>AVERAGEIFS(C:C,G:G,I30)</f>
        <v>44330</v>
      </c>
      <c r="K30" t="str">
        <f t="shared" si="1"/>
        <v>(2004,44330),</v>
      </c>
    </row>
    <row r="31" spans="1:11" x14ac:dyDescent="0.3">
      <c r="A31" s="2" t="s">
        <v>34</v>
      </c>
      <c r="B31" s="3">
        <v>113300</v>
      </c>
      <c r="C31" s="3">
        <v>44330</v>
      </c>
      <c r="D31" s="3">
        <v>68250</v>
      </c>
      <c r="E31" s="3">
        <v>60470</v>
      </c>
      <c r="F31" s="3">
        <v>93080</v>
      </c>
      <c r="G31" t="str">
        <f t="shared" si="0"/>
        <v>2004</v>
      </c>
      <c r="I31" t="s">
        <v>35</v>
      </c>
      <c r="J31">
        <f>AVERAGEIFS(C:C,G:G,I31)</f>
        <v>43320</v>
      </c>
      <c r="K31" t="str">
        <f t="shared" si="1"/>
        <v>(2003,43320),</v>
      </c>
    </row>
    <row r="32" spans="1:11" x14ac:dyDescent="0.3">
      <c r="A32" s="2">
        <v>2003</v>
      </c>
      <c r="B32" s="3">
        <v>112000</v>
      </c>
      <c r="C32" s="3">
        <v>43320</v>
      </c>
      <c r="D32" s="3">
        <v>68350</v>
      </c>
      <c r="E32" s="3">
        <v>59070</v>
      </c>
      <c r="F32" s="3">
        <v>93200</v>
      </c>
      <c r="G32" t="str">
        <f t="shared" si="0"/>
        <v>2003</v>
      </c>
      <c r="I32" t="s">
        <v>36</v>
      </c>
      <c r="J32">
        <f>AVERAGEIFS(C:C,G:G,I32)</f>
        <v>42410</v>
      </c>
      <c r="K32" t="str">
        <f t="shared" si="1"/>
        <v>(2002,42410),</v>
      </c>
    </row>
    <row r="33" spans="1:11" x14ac:dyDescent="0.3">
      <c r="A33" s="2">
        <v>2002</v>
      </c>
      <c r="B33" s="3">
        <v>111300</v>
      </c>
      <c r="C33" s="3">
        <v>42410</v>
      </c>
      <c r="D33" s="3">
        <v>68310</v>
      </c>
      <c r="E33" s="3">
        <v>57850</v>
      </c>
      <c r="F33" s="3">
        <v>93190</v>
      </c>
      <c r="G33" t="str">
        <f t="shared" si="0"/>
        <v>2002</v>
      </c>
      <c r="I33" t="s">
        <v>37</v>
      </c>
      <c r="J33">
        <f>AVERAGEIFS(C:C,G:G,I33)</f>
        <v>42230</v>
      </c>
      <c r="K33" t="str">
        <f t="shared" si="1"/>
        <v>(2001,42230),</v>
      </c>
    </row>
    <row r="34" spans="1:11" x14ac:dyDescent="0.3">
      <c r="A34" s="2">
        <v>2001</v>
      </c>
      <c r="B34" s="3">
        <v>109300</v>
      </c>
      <c r="C34" s="3">
        <v>42230</v>
      </c>
      <c r="D34" s="3">
        <v>68870</v>
      </c>
      <c r="E34" s="3">
        <v>58210</v>
      </c>
      <c r="F34" s="3">
        <v>94930</v>
      </c>
      <c r="G34" t="str">
        <f t="shared" si="0"/>
        <v>2001</v>
      </c>
      <c r="I34" t="s">
        <v>78</v>
      </c>
      <c r="J34">
        <f>AVERAGEIFS(C:C,G:G,I34)</f>
        <v>41990</v>
      </c>
      <c r="K34" t="str">
        <f t="shared" si="1"/>
        <v>(2000,41990),</v>
      </c>
    </row>
    <row r="35" spans="1:11" x14ac:dyDescent="0.3">
      <c r="A35" s="2" t="s">
        <v>38</v>
      </c>
      <c r="B35" s="3">
        <v>108200</v>
      </c>
      <c r="C35" s="3">
        <v>41990</v>
      </c>
      <c r="D35" s="3">
        <v>70020</v>
      </c>
      <c r="E35" s="3">
        <v>57140</v>
      </c>
      <c r="F35" s="3">
        <v>95280</v>
      </c>
      <c r="G35" t="str">
        <f t="shared" si="0"/>
        <v>2000</v>
      </c>
      <c r="I35" t="s">
        <v>79</v>
      </c>
      <c r="J35">
        <f>AVERAGEIFS(C:C,G:G,I35)</f>
        <v>40700</v>
      </c>
      <c r="K35" t="str">
        <f t="shared" si="1"/>
        <v>(1999,40700),</v>
      </c>
    </row>
    <row r="36" spans="1:11" x14ac:dyDescent="0.3">
      <c r="A36" s="2" t="s">
        <v>39</v>
      </c>
      <c r="B36" s="3">
        <v>106400</v>
      </c>
      <c r="C36" s="3">
        <v>40700</v>
      </c>
      <c r="D36" s="3">
        <v>70210</v>
      </c>
      <c r="E36" s="3">
        <v>54740</v>
      </c>
      <c r="F36" s="3">
        <v>94430</v>
      </c>
      <c r="G36" t="str">
        <f t="shared" si="0"/>
        <v>1999</v>
      </c>
      <c r="I36" t="s">
        <v>40</v>
      </c>
      <c r="J36">
        <f>AVERAGEIFS(C:C,G:G,I36)</f>
        <v>38890</v>
      </c>
      <c r="K36" t="str">
        <f t="shared" si="1"/>
        <v>(1998,38890),</v>
      </c>
    </row>
    <row r="37" spans="1:11" x14ac:dyDescent="0.3">
      <c r="A37" s="2">
        <v>1998</v>
      </c>
      <c r="B37" s="3">
        <v>103900</v>
      </c>
      <c r="C37" s="3">
        <v>38890</v>
      </c>
      <c r="D37" s="3">
        <v>68470</v>
      </c>
      <c r="E37" s="3">
        <v>51860</v>
      </c>
      <c r="F37" s="3">
        <v>91310</v>
      </c>
      <c r="G37" t="str">
        <f t="shared" si="0"/>
        <v>1998</v>
      </c>
      <c r="I37" t="s">
        <v>41</v>
      </c>
      <c r="J37">
        <f>AVERAGEIFS(C:C,G:G,I37)</f>
        <v>37010</v>
      </c>
      <c r="K37" t="str">
        <f t="shared" si="1"/>
        <v>(1997,37010),</v>
      </c>
    </row>
    <row r="38" spans="1:11" x14ac:dyDescent="0.3">
      <c r="A38" s="2">
        <v>1997</v>
      </c>
      <c r="B38" s="3">
        <v>102500</v>
      </c>
      <c r="C38" s="3">
        <v>37010</v>
      </c>
      <c r="D38" s="3">
        <v>66050</v>
      </c>
      <c r="E38" s="3">
        <v>49690</v>
      </c>
      <c r="F38" s="3">
        <v>88690</v>
      </c>
      <c r="G38" t="str">
        <f t="shared" si="0"/>
        <v>1997</v>
      </c>
      <c r="I38" t="s">
        <v>42</v>
      </c>
      <c r="J38">
        <f>AVERAGEIFS(C:C,G:G,I38)</f>
        <v>35490</v>
      </c>
      <c r="K38" t="str">
        <f t="shared" si="1"/>
        <v>(1996,35490),</v>
      </c>
    </row>
    <row r="39" spans="1:11" x14ac:dyDescent="0.3">
      <c r="A39" s="2">
        <v>1996</v>
      </c>
      <c r="B39" s="3">
        <v>101000</v>
      </c>
      <c r="C39" s="3">
        <v>35490</v>
      </c>
      <c r="D39" s="3">
        <v>64710</v>
      </c>
      <c r="E39" s="3">
        <v>47120</v>
      </c>
      <c r="F39" s="3">
        <v>85910</v>
      </c>
      <c r="G39" t="str">
        <f t="shared" si="0"/>
        <v>1996</v>
      </c>
      <c r="I39" t="s">
        <v>80</v>
      </c>
      <c r="J39">
        <f>AVERAGEIFS(C:C,G:G,I39)</f>
        <v>34080</v>
      </c>
      <c r="K39" t="str">
        <f t="shared" si="1"/>
        <v>(1995,34080),</v>
      </c>
    </row>
    <row r="40" spans="1:11" x14ac:dyDescent="0.3">
      <c r="A40" s="2" t="s">
        <v>43</v>
      </c>
      <c r="B40" s="3">
        <v>99630</v>
      </c>
      <c r="C40" s="3">
        <v>34080</v>
      </c>
      <c r="D40" s="3">
        <v>63770</v>
      </c>
      <c r="E40" s="3">
        <v>44940</v>
      </c>
      <c r="F40" s="3">
        <v>84090</v>
      </c>
      <c r="G40" t="str">
        <f t="shared" si="0"/>
        <v>1995</v>
      </c>
      <c r="I40" t="s">
        <v>81</v>
      </c>
      <c r="J40">
        <f>AVERAGEIFS(C:C,G:G,I40)</f>
        <v>32260</v>
      </c>
      <c r="K40" t="str">
        <f t="shared" si="1"/>
        <v>(1994,32260),</v>
      </c>
    </row>
    <row r="41" spans="1:11" x14ac:dyDescent="0.3">
      <c r="A41" s="2" t="s">
        <v>44</v>
      </c>
      <c r="B41" s="3">
        <v>98990</v>
      </c>
      <c r="C41" s="3">
        <v>32260</v>
      </c>
      <c r="D41" s="3">
        <v>61800</v>
      </c>
      <c r="E41" s="3">
        <v>43130</v>
      </c>
      <c r="F41" s="3">
        <v>82620</v>
      </c>
      <c r="G41" t="str">
        <f t="shared" si="0"/>
        <v>1994</v>
      </c>
      <c r="I41" t="s">
        <v>82</v>
      </c>
      <c r="J41">
        <f>AVERAGEIFS(C:C,G:G,I41)</f>
        <v>31240</v>
      </c>
      <c r="K41" t="str">
        <f t="shared" si="1"/>
        <v>(1993,31240),</v>
      </c>
    </row>
    <row r="42" spans="1:11" x14ac:dyDescent="0.3">
      <c r="A42" s="2" t="s">
        <v>45</v>
      </c>
      <c r="B42" s="3">
        <v>97110</v>
      </c>
      <c r="C42" s="3">
        <v>31240</v>
      </c>
      <c r="D42" s="3">
        <v>61150</v>
      </c>
      <c r="E42" s="3">
        <v>41430</v>
      </c>
      <c r="F42" s="3">
        <v>81090</v>
      </c>
      <c r="G42" t="str">
        <f t="shared" si="0"/>
        <v>1993</v>
      </c>
      <c r="I42" t="s">
        <v>83</v>
      </c>
      <c r="J42">
        <f>AVERAGEIFS(C:C,G:G,I42)</f>
        <v>30640</v>
      </c>
      <c r="K42" t="str">
        <f t="shared" si="1"/>
        <v>(1992,30640),</v>
      </c>
    </row>
    <row r="43" spans="1:11" x14ac:dyDescent="0.3">
      <c r="A43" s="2" t="s">
        <v>46</v>
      </c>
      <c r="B43" s="3">
        <v>96430</v>
      </c>
      <c r="C43" s="3">
        <v>30640</v>
      </c>
      <c r="D43" s="3">
        <v>61450</v>
      </c>
      <c r="E43" s="3">
        <v>38840</v>
      </c>
      <c r="F43" s="3">
        <v>77910</v>
      </c>
      <c r="G43" t="str">
        <f t="shared" si="0"/>
        <v>1992</v>
      </c>
      <c r="I43" t="s">
        <v>47</v>
      </c>
      <c r="J43">
        <f>AVERAGEIFS(C:C,G:G,I43)</f>
        <v>30130</v>
      </c>
      <c r="K43" t="str">
        <f t="shared" si="1"/>
        <v>(1991,30130),</v>
      </c>
    </row>
    <row r="44" spans="1:11" x14ac:dyDescent="0.3">
      <c r="A44" s="2">
        <v>1991</v>
      </c>
      <c r="B44" s="3">
        <v>95670</v>
      </c>
      <c r="C44" s="3">
        <v>30130</v>
      </c>
      <c r="D44" s="3">
        <v>61960</v>
      </c>
      <c r="E44" s="3">
        <v>37920</v>
      </c>
      <c r="F44" s="3">
        <v>78000</v>
      </c>
      <c r="G44" t="str">
        <f t="shared" si="0"/>
        <v>1991</v>
      </c>
      <c r="I44" t="s">
        <v>48</v>
      </c>
      <c r="J44">
        <f>AVERAGEIFS(C:C,G:G,I44)</f>
        <v>29940</v>
      </c>
      <c r="K44" t="str">
        <f t="shared" si="1"/>
        <v>(1990,29940),</v>
      </c>
    </row>
    <row r="45" spans="1:11" x14ac:dyDescent="0.3">
      <c r="A45" s="2">
        <v>1990</v>
      </c>
      <c r="B45" s="3">
        <v>94310</v>
      </c>
      <c r="C45" s="3">
        <v>29940</v>
      </c>
      <c r="D45" s="3">
        <v>63830</v>
      </c>
      <c r="E45" s="3">
        <v>37400</v>
      </c>
      <c r="F45" s="3">
        <v>79730</v>
      </c>
      <c r="G45" t="str">
        <f t="shared" si="0"/>
        <v>1990</v>
      </c>
      <c r="I45" t="s">
        <v>49</v>
      </c>
      <c r="J45">
        <f>AVERAGEIFS(C:C,G:G,I45)</f>
        <v>28910</v>
      </c>
      <c r="K45" t="str">
        <f t="shared" si="1"/>
        <v>(1989,28910),</v>
      </c>
    </row>
    <row r="46" spans="1:11" x14ac:dyDescent="0.3">
      <c r="A46" s="2">
        <v>1989</v>
      </c>
      <c r="B46" s="3">
        <v>93350</v>
      </c>
      <c r="C46" s="3">
        <v>28910</v>
      </c>
      <c r="D46" s="3">
        <v>64610</v>
      </c>
      <c r="E46" s="3">
        <v>36520</v>
      </c>
      <c r="F46" s="3">
        <v>81630</v>
      </c>
      <c r="G46" t="str">
        <f t="shared" si="0"/>
        <v>1989</v>
      </c>
      <c r="I46" t="s">
        <v>50</v>
      </c>
      <c r="J46">
        <f>AVERAGEIFS(C:C,G:G,I46)</f>
        <v>27230</v>
      </c>
      <c r="K46" t="str">
        <f t="shared" si="1"/>
        <v>(1988,27230),</v>
      </c>
    </row>
    <row r="47" spans="1:11" x14ac:dyDescent="0.3">
      <c r="A47" s="2">
        <v>1988</v>
      </c>
      <c r="B47" s="3">
        <v>92830</v>
      </c>
      <c r="C47" s="3">
        <v>27230</v>
      </c>
      <c r="D47" s="3">
        <v>63530</v>
      </c>
      <c r="E47" s="3">
        <v>34020</v>
      </c>
      <c r="F47" s="3">
        <v>79370</v>
      </c>
      <c r="G47" t="str">
        <f t="shared" si="0"/>
        <v>1988</v>
      </c>
      <c r="I47" t="s">
        <v>84</v>
      </c>
      <c r="J47">
        <f>AVERAGEIFS(C:C,G:G,I47)</f>
        <v>26060</v>
      </c>
      <c r="K47" t="str">
        <f t="shared" si="1"/>
        <v>(1987,26060),</v>
      </c>
    </row>
    <row r="48" spans="1:11" x14ac:dyDescent="0.3">
      <c r="A48" s="2" t="s">
        <v>51</v>
      </c>
      <c r="B48" s="3">
        <v>91120</v>
      </c>
      <c r="C48" s="3">
        <v>26060</v>
      </c>
      <c r="D48" s="3">
        <v>63060</v>
      </c>
      <c r="E48" s="3">
        <v>32410</v>
      </c>
      <c r="F48" s="3">
        <v>78420</v>
      </c>
      <c r="G48" t="str">
        <f t="shared" si="0"/>
        <v>1987</v>
      </c>
      <c r="I48" t="s">
        <v>52</v>
      </c>
      <c r="J48">
        <f>AVERAGEIFS(C:C,G:G,I48)</f>
        <v>24900</v>
      </c>
      <c r="K48" t="str">
        <f t="shared" si="1"/>
        <v>(1986,24900),</v>
      </c>
    </row>
    <row r="49" spans="1:11" x14ac:dyDescent="0.3">
      <c r="A49" s="2">
        <v>1986</v>
      </c>
      <c r="B49" s="3">
        <v>89480</v>
      </c>
      <c r="C49" s="3">
        <v>24900</v>
      </c>
      <c r="D49" s="3">
        <v>62280</v>
      </c>
      <c r="E49" s="3">
        <v>30760</v>
      </c>
      <c r="F49" s="3">
        <v>76940</v>
      </c>
      <c r="G49" t="str">
        <f t="shared" si="0"/>
        <v>1986</v>
      </c>
      <c r="I49" t="s">
        <v>85</v>
      </c>
      <c r="J49">
        <f>AVERAGEIFS(C:C,G:G,I49)</f>
        <v>23620</v>
      </c>
      <c r="K49" t="str">
        <f t="shared" si="1"/>
        <v>(1985,23620),</v>
      </c>
    </row>
    <row r="50" spans="1:11" x14ac:dyDescent="0.3">
      <c r="A50" s="2" t="s">
        <v>53</v>
      </c>
      <c r="B50" s="3">
        <v>88460</v>
      </c>
      <c r="C50" s="3">
        <v>23620</v>
      </c>
      <c r="D50" s="3">
        <v>60050</v>
      </c>
      <c r="E50" s="3">
        <v>29070</v>
      </c>
      <c r="F50" s="3">
        <v>73900</v>
      </c>
      <c r="G50" t="str">
        <f t="shared" si="0"/>
        <v>1985</v>
      </c>
      <c r="I50" t="s">
        <v>86</v>
      </c>
      <c r="J50">
        <f>AVERAGEIFS(C:C,G:G,I50)</f>
        <v>22420</v>
      </c>
      <c r="K50" t="str">
        <f t="shared" si="1"/>
        <v>(1984,22420),</v>
      </c>
    </row>
    <row r="51" spans="1:11" x14ac:dyDescent="0.3">
      <c r="A51" s="2" t="s">
        <v>54</v>
      </c>
      <c r="B51" s="3">
        <v>86790</v>
      </c>
      <c r="C51" s="3">
        <v>22420</v>
      </c>
      <c r="D51" s="3">
        <v>58930</v>
      </c>
      <c r="E51" s="3">
        <v>27460</v>
      </c>
      <c r="F51" s="3">
        <v>72200</v>
      </c>
      <c r="G51" t="str">
        <f t="shared" si="0"/>
        <v>1984</v>
      </c>
      <c r="I51" t="s">
        <v>55</v>
      </c>
      <c r="J51">
        <f>AVERAGEIFS(C:C,G:G,I51)</f>
        <v>20890</v>
      </c>
      <c r="K51" t="str">
        <f t="shared" si="1"/>
        <v>(1983,20890),</v>
      </c>
    </row>
    <row r="52" spans="1:11" x14ac:dyDescent="0.3">
      <c r="A52" s="2">
        <v>1983</v>
      </c>
      <c r="B52" s="3">
        <v>85410</v>
      </c>
      <c r="C52" s="3">
        <v>20890</v>
      </c>
      <c r="D52" s="3">
        <v>57210</v>
      </c>
      <c r="E52" s="3">
        <v>25400</v>
      </c>
      <c r="F52" s="3">
        <v>69580</v>
      </c>
      <c r="G52" t="str">
        <f t="shared" si="0"/>
        <v>1983</v>
      </c>
      <c r="I52" t="s">
        <v>56</v>
      </c>
      <c r="J52">
        <f>AVERAGEIFS(C:C,G:G,I52)</f>
        <v>20170</v>
      </c>
      <c r="K52" t="str">
        <f t="shared" si="1"/>
        <v>(1982,20170),</v>
      </c>
    </row>
    <row r="53" spans="1:11" x14ac:dyDescent="0.3">
      <c r="A53" s="2">
        <v>1982</v>
      </c>
      <c r="B53" s="3">
        <v>83920</v>
      </c>
      <c r="C53" s="3">
        <v>20170</v>
      </c>
      <c r="D53" s="3">
        <v>57570</v>
      </c>
      <c r="E53" s="3">
        <v>24310</v>
      </c>
      <c r="F53" s="3">
        <v>69380</v>
      </c>
      <c r="G53" t="str">
        <f t="shared" si="0"/>
        <v>1982</v>
      </c>
      <c r="I53" t="s">
        <v>57</v>
      </c>
      <c r="J53">
        <f>AVERAGEIFS(C:C,G:G,I53)</f>
        <v>19070</v>
      </c>
      <c r="K53" t="str">
        <f t="shared" si="1"/>
        <v>(1981,19070),</v>
      </c>
    </row>
    <row r="54" spans="1:11" x14ac:dyDescent="0.3">
      <c r="A54" s="2">
        <v>1981</v>
      </c>
      <c r="B54" s="3">
        <v>83530</v>
      </c>
      <c r="C54" s="3">
        <v>19070</v>
      </c>
      <c r="D54" s="3">
        <v>57730</v>
      </c>
      <c r="E54" s="3">
        <v>22790</v>
      </c>
      <c r="F54" s="3">
        <v>68970</v>
      </c>
      <c r="G54" t="str">
        <f t="shared" si="0"/>
        <v>1981</v>
      </c>
      <c r="I54" t="s">
        <v>58</v>
      </c>
      <c r="J54">
        <f>AVERAGEIFS(C:C,G:G,I54)</f>
        <v>17710</v>
      </c>
      <c r="K54" t="str">
        <f t="shared" si="1"/>
        <v>(1980,17710),</v>
      </c>
    </row>
    <row r="55" spans="1:11" x14ac:dyDescent="0.3">
      <c r="A55" s="2">
        <v>1980</v>
      </c>
      <c r="B55" s="3">
        <v>82370</v>
      </c>
      <c r="C55" s="3">
        <v>17710</v>
      </c>
      <c r="D55" s="3">
        <v>58720</v>
      </c>
      <c r="E55" s="3">
        <v>21060</v>
      </c>
      <c r="F55" s="3">
        <v>69840</v>
      </c>
      <c r="G55" t="str">
        <f t="shared" si="0"/>
        <v>1980</v>
      </c>
      <c r="I55" t="s">
        <v>87</v>
      </c>
      <c r="J55">
        <f>AVERAGEIFS(C:C,G:G,I55)</f>
        <v>16460</v>
      </c>
      <c r="K55" t="str">
        <f t="shared" si="1"/>
        <v>(1979,16460),</v>
      </c>
    </row>
    <row r="56" spans="1:11" x14ac:dyDescent="0.3">
      <c r="A56" s="2" t="s">
        <v>59</v>
      </c>
      <c r="B56" s="3">
        <v>80780</v>
      </c>
      <c r="C56" s="3">
        <v>16460</v>
      </c>
      <c r="D56" s="3">
        <v>60610</v>
      </c>
      <c r="E56" s="3">
        <v>19550</v>
      </c>
      <c r="F56" s="3">
        <v>71990</v>
      </c>
      <c r="G56" t="str">
        <f t="shared" si="0"/>
        <v>1979</v>
      </c>
      <c r="I56" t="s">
        <v>60</v>
      </c>
      <c r="J56">
        <f>AVERAGEIFS(C:C,G:G,I56)</f>
        <v>15060</v>
      </c>
      <c r="K56" t="str">
        <f t="shared" si="1"/>
        <v>(1978,15060),</v>
      </c>
    </row>
    <row r="57" spans="1:11" x14ac:dyDescent="0.3">
      <c r="A57" s="2">
        <v>1978</v>
      </c>
      <c r="B57" s="3">
        <v>77330</v>
      </c>
      <c r="C57" s="3">
        <v>15060</v>
      </c>
      <c r="D57" s="3">
        <v>60720</v>
      </c>
      <c r="E57" s="3">
        <v>17730</v>
      </c>
      <c r="F57" s="3">
        <v>71470</v>
      </c>
      <c r="G57" t="str">
        <f t="shared" si="0"/>
        <v>1978</v>
      </c>
      <c r="I57" t="s">
        <v>61</v>
      </c>
      <c r="J57">
        <f>AVERAGEIFS(C:C,G:G,I57)</f>
        <v>13570</v>
      </c>
      <c r="K57" t="str">
        <f t="shared" si="1"/>
        <v>(1977,13570),</v>
      </c>
    </row>
    <row r="58" spans="1:11" x14ac:dyDescent="0.3">
      <c r="A58" s="2">
        <v>1977</v>
      </c>
      <c r="B58" s="3">
        <v>76030</v>
      </c>
      <c r="C58" s="3">
        <v>13570</v>
      </c>
      <c r="D58" s="3">
        <v>58450</v>
      </c>
      <c r="E58" s="3">
        <v>16100</v>
      </c>
      <c r="F58" s="3">
        <v>69330</v>
      </c>
      <c r="G58" t="str">
        <f t="shared" si="0"/>
        <v>1977</v>
      </c>
      <c r="I58" t="s">
        <v>88</v>
      </c>
      <c r="J58">
        <f>AVERAGEIFS(C:C,G:G,I58)</f>
        <v>12690</v>
      </c>
      <c r="K58" t="str">
        <f t="shared" si="1"/>
        <v>(1976,12690),</v>
      </c>
    </row>
    <row r="59" spans="1:11" x14ac:dyDescent="0.3">
      <c r="A59" s="2" t="s">
        <v>62</v>
      </c>
      <c r="B59" s="3">
        <v>74140</v>
      </c>
      <c r="C59" s="3">
        <v>12690</v>
      </c>
      <c r="D59" s="3">
        <v>58160</v>
      </c>
      <c r="E59" s="3">
        <v>14920</v>
      </c>
      <c r="F59" s="3">
        <v>68420</v>
      </c>
      <c r="G59" t="str">
        <f t="shared" si="0"/>
        <v>1976</v>
      </c>
      <c r="I59" t="s">
        <v>89</v>
      </c>
      <c r="J59">
        <f>AVERAGEIFS(C:C,G:G,I59)</f>
        <v>11800</v>
      </c>
      <c r="K59" t="str">
        <f t="shared" si="1"/>
        <v>(1975,11800),</v>
      </c>
    </row>
    <row r="60" spans="1:11" x14ac:dyDescent="0.3">
      <c r="A60" s="2" t="s">
        <v>63</v>
      </c>
      <c r="B60" s="3">
        <v>72870</v>
      </c>
      <c r="C60" s="3">
        <v>11800</v>
      </c>
      <c r="D60" s="3">
        <v>57180</v>
      </c>
      <c r="E60" s="3">
        <v>13780</v>
      </c>
      <c r="F60" s="3">
        <v>66780</v>
      </c>
      <c r="G60" t="str">
        <f t="shared" si="0"/>
        <v>1975</v>
      </c>
      <c r="I60" t="s">
        <v>90</v>
      </c>
      <c r="J60">
        <f>AVERAGEIFS(C:C,G:G,I60)</f>
        <v>11200</v>
      </c>
      <c r="K60" t="str">
        <f t="shared" si="1"/>
        <v>(1974,11200),</v>
      </c>
    </row>
    <row r="61" spans="1:11" x14ac:dyDescent="0.3">
      <c r="A61" s="2" t="s">
        <v>64</v>
      </c>
      <c r="B61" s="3">
        <v>71160</v>
      </c>
      <c r="C61" s="3">
        <v>11200</v>
      </c>
      <c r="D61" s="3">
        <v>58780</v>
      </c>
      <c r="E61" s="3">
        <v>13090</v>
      </c>
      <c r="F61" s="3">
        <v>68740</v>
      </c>
      <c r="G61" t="str">
        <f t="shared" si="0"/>
        <v>1974</v>
      </c>
      <c r="I61" t="s">
        <v>65</v>
      </c>
      <c r="J61">
        <f>AVERAGEIFS(C:C,G:G,I61)</f>
        <v>10510</v>
      </c>
      <c r="K61" t="str">
        <f t="shared" si="1"/>
        <v>(1973,10510),</v>
      </c>
    </row>
    <row r="62" spans="1:11" x14ac:dyDescent="0.3">
      <c r="A62" s="2">
        <v>1973</v>
      </c>
      <c r="B62" s="3">
        <v>69860</v>
      </c>
      <c r="C62" s="3">
        <v>10510</v>
      </c>
      <c r="D62" s="3">
        <v>60610</v>
      </c>
      <c r="E62" s="3">
        <v>12160</v>
      </c>
      <c r="F62" s="3">
        <v>70100</v>
      </c>
      <c r="G62" t="str">
        <f t="shared" si="0"/>
        <v>1973</v>
      </c>
      <c r="I62" t="s">
        <v>91</v>
      </c>
      <c r="J62">
        <f>AVERAGEIFS(C:C,G:G,I62)</f>
        <v>9697</v>
      </c>
      <c r="K62" t="str">
        <f t="shared" si="1"/>
        <v>(1972,9697),</v>
      </c>
    </row>
    <row r="63" spans="1:11" x14ac:dyDescent="0.3">
      <c r="A63" s="2" t="s">
        <v>66</v>
      </c>
      <c r="B63" s="3">
        <v>68250</v>
      </c>
      <c r="C63" s="3">
        <v>9697</v>
      </c>
      <c r="D63" s="3">
        <v>59330</v>
      </c>
      <c r="E63" s="3">
        <v>11290</v>
      </c>
      <c r="F63" s="3">
        <v>69060</v>
      </c>
      <c r="G63" t="str">
        <f t="shared" si="0"/>
        <v>1972</v>
      </c>
      <c r="I63" t="s">
        <v>92</v>
      </c>
      <c r="J63">
        <f>AVERAGEIFS(C:C,G:G,I63)</f>
        <v>9028</v>
      </c>
      <c r="K63" t="str">
        <f t="shared" si="1"/>
        <v>(1971,9028),</v>
      </c>
    </row>
    <row r="64" spans="1:11" x14ac:dyDescent="0.3">
      <c r="A64" s="2" t="s">
        <v>67</v>
      </c>
      <c r="B64" s="3">
        <v>66680</v>
      </c>
      <c r="C64" s="3">
        <v>9028</v>
      </c>
      <c r="D64" s="3">
        <v>57090</v>
      </c>
      <c r="E64" s="3">
        <v>10380</v>
      </c>
      <c r="F64" s="3">
        <v>65660</v>
      </c>
      <c r="G64" t="str">
        <f t="shared" si="0"/>
        <v>1971</v>
      </c>
      <c r="I64" t="s">
        <v>68</v>
      </c>
      <c r="J64">
        <f>AVERAGEIFS(C:C,G:G,I64)</f>
        <v>8734</v>
      </c>
      <c r="K64" t="str">
        <f t="shared" si="1"/>
        <v>(1970,8734),</v>
      </c>
    </row>
    <row r="65" spans="1:11" x14ac:dyDescent="0.3">
      <c r="A65" s="2">
        <v>1970</v>
      </c>
      <c r="B65" s="3">
        <v>64780</v>
      </c>
      <c r="C65" s="3">
        <v>8734</v>
      </c>
      <c r="D65" s="3">
        <v>57580</v>
      </c>
      <c r="E65" s="3">
        <v>10000</v>
      </c>
      <c r="F65" s="3">
        <v>65940</v>
      </c>
      <c r="G65" t="str">
        <f t="shared" si="0"/>
        <v>1970</v>
      </c>
      <c r="I65" t="s">
        <v>69</v>
      </c>
      <c r="J65">
        <f>AVERAGEIFS(C:C,G:G,I65)</f>
        <v>8389</v>
      </c>
      <c r="K65" t="str">
        <f t="shared" si="1"/>
        <v>(1969,8389),</v>
      </c>
    </row>
    <row r="66" spans="1:11" x14ac:dyDescent="0.3">
      <c r="A66" s="2">
        <v>1969</v>
      </c>
      <c r="B66" s="3">
        <v>63400</v>
      </c>
      <c r="C66" s="3">
        <v>8389</v>
      </c>
      <c r="D66" s="3">
        <v>58010</v>
      </c>
      <c r="E66" s="3">
        <v>9544</v>
      </c>
      <c r="F66" s="3">
        <v>65990</v>
      </c>
      <c r="G66" t="str">
        <f t="shared" si="0"/>
        <v>1969</v>
      </c>
      <c r="I66" t="s">
        <v>70</v>
      </c>
      <c r="J66">
        <f>AVERAGEIFS(C:C,G:G,I66)</f>
        <v>7743</v>
      </c>
      <c r="K66" t="str">
        <f t="shared" si="1"/>
        <v>(1968,7743),</v>
      </c>
    </row>
    <row r="67" spans="1:11" x14ac:dyDescent="0.3">
      <c r="A67" s="2">
        <v>1968</v>
      </c>
      <c r="B67" s="3">
        <v>62210</v>
      </c>
      <c r="C67" s="3">
        <v>7743</v>
      </c>
      <c r="D67" s="3">
        <v>55810</v>
      </c>
      <c r="E67" s="3">
        <v>8760</v>
      </c>
      <c r="F67" s="3">
        <v>63140</v>
      </c>
      <c r="G67" t="str">
        <f t="shared" si="0"/>
        <v>1968</v>
      </c>
      <c r="I67" t="s">
        <v>93</v>
      </c>
      <c r="J67">
        <f>AVERAGEIFS(C:C,G:G,I67)</f>
        <v>7143</v>
      </c>
      <c r="K67" t="str">
        <f t="shared" si="1"/>
        <v>(1967,7143);</v>
      </c>
    </row>
    <row r="68" spans="1:11" x14ac:dyDescent="0.3">
      <c r="A68" s="2" t="s">
        <v>71</v>
      </c>
      <c r="B68" s="3">
        <v>60810</v>
      </c>
      <c r="C68" s="3">
        <v>7143</v>
      </c>
      <c r="D68" s="3">
        <v>53530</v>
      </c>
      <c r="E68" s="3">
        <v>7989</v>
      </c>
      <c r="F68" s="3">
        <v>59860</v>
      </c>
      <c r="G68" t="str">
        <f t="shared" si="0"/>
        <v>1967</v>
      </c>
    </row>
    <row r="70" spans="1:11" ht="24" customHeight="1" x14ac:dyDescent="0.3"/>
    <row r="71" spans="1:11" ht="24" customHeight="1" x14ac:dyDescent="0.3"/>
    <row r="97" ht="24" customHeight="1" x14ac:dyDescent="0.3"/>
    <row r="98" ht="24" customHeight="1" x14ac:dyDescent="0.3"/>
    <row r="135" ht="24" customHeight="1" x14ac:dyDescent="0.3"/>
    <row r="136" ht="24" customHeight="1" x14ac:dyDescent="0.3"/>
    <row r="162" ht="24" customHeight="1" x14ac:dyDescent="0.3"/>
    <row r="163" ht="24" customHeight="1" x14ac:dyDescent="0.3"/>
    <row r="195" ht="24" customHeight="1" x14ac:dyDescent="0.3"/>
    <row r="196" ht="24" customHeight="1" x14ac:dyDescent="0.3"/>
    <row r="222" ht="24" customHeight="1" x14ac:dyDescent="0.3"/>
    <row r="223" ht="24" customHeight="1" x14ac:dyDescent="0.3"/>
    <row r="249" ht="24" customHeight="1" x14ac:dyDescent="0.3"/>
    <row r="250" ht="24" customHeight="1" x14ac:dyDescent="0.3"/>
    <row r="287" ht="24" customHeight="1" x14ac:dyDescent="0.3"/>
    <row r="288" ht="24" customHeight="1" x14ac:dyDescent="0.3"/>
    <row r="314" ht="24" customHeight="1" x14ac:dyDescent="0.3"/>
    <row r="315" ht="24" customHeight="1" x14ac:dyDescent="0.3"/>
    <row r="341" ht="24" customHeight="1" x14ac:dyDescent="0.3"/>
    <row r="342" ht="24" customHeight="1" x14ac:dyDescent="0.3"/>
    <row r="359" ht="24" customHeight="1" x14ac:dyDescent="0.3"/>
    <row r="360" ht="24" customHeight="1" x14ac:dyDescent="0.3"/>
  </sheetData>
  <mergeCells count="11">
    <mergeCell ref="A6:F6"/>
    <mergeCell ref="A7:F7"/>
    <mergeCell ref="A8:A9"/>
    <mergeCell ref="B8:B9"/>
    <mergeCell ref="C8:D8"/>
    <mergeCell ref="E8:F8"/>
    <mergeCell ref="A1:F1"/>
    <mergeCell ref="A2:F2"/>
    <mergeCell ref="A3:F3"/>
    <mergeCell ref="A4:F4"/>
    <mergeCell ref="A5:F5"/>
  </mergeCells>
  <hyperlinks>
    <hyperlink ref="A3" r:id="rId1" xr:uid="{00000000-0004-0000-0000-000000000000}"/>
    <hyperlink ref="A4"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h05</vt:lpstr>
      <vt:lpstr>'h05'!Print_Area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LeeEunchan</cp:lastModifiedBy>
  <dcterms:created xsi:type="dcterms:W3CDTF">2024-08-07T16:37:19Z</dcterms:created>
  <dcterms:modified xsi:type="dcterms:W3CDTF">2024-12-03T03:25:01Z</dcterms:modified>
</cp:coreProperties>
</file>