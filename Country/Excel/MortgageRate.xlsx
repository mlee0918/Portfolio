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C:\Users\mlee9\Desktop\BUS 340\Course Review\"/>
    </mc:Choice>
  </mc:AlternateContent>
  <xr:revisionPtr revIDLastSave="0" documentId="13_ncr:1_{72BB9AF4-7AE2-4BB2-8351-734C0F30A529}" xr6:coauthVersionLast="47" xr6:coauthVersionMax="47" xr10:uidLastSave="{00000000-0000-0000-0000-000000000000}"/>
  <bookViews>
    <workbookView xWindow="-108" yWindow="-108" windowWidth="23256" windowHeight="12576" tabRatio="689" activeTab="1" xr2:uid="{00000000-000D-0000-FFFF-FFFF00000000}"/>
  </bookViews>
  <sheets>
    <sheet name="Full History" sheetId="3" r:id="rId1"/>
    <sheet name="MortgageRate" sheetId="4" r:id="rId2"/>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93" i="4" l="1"/>
  <c r="G104" i="4"/>
  <c r="G141" i="4"/>
  <c r="G152" i="4"/>
  <c r="G189" i="4"/>
  <c r="G200" i="4"/>
  <c r="G237" i="4"/>
  <c r="G248" i="4"/>
  <c r="G285" i="4"/>
  <c r="G296" i="4"/>
  <c r="G333" i="4"/>
  <c r="G344" i="4"/>
  <c r="G381" i="4"/>
  <c r="G429" i="4"/>
  <c r="G477" i="4"/>
  <c r="G525" i="4"/>
  <c r="G586" i="4"/>
  <c r="G648" i="4"/>
  <c r="E81" i="4"/>
  <c r="G81" i="4" s="1"/>
  <c r="E82" i="4"/>
  <c r="G82" i="4" s="1"/>
  <c r="E83" i="4"/>
  <c r="E84" i="4"/>
  <c r="E85" i="4"/>
  <c r="E86" i="4"/>
  <c r="E87" i="4"/>
  <c r="E88" i="4"/>
  <c r="E89" i="4"/>
  <c r="G83" i="4" s="1"/>
  <c r="E90" i="4"/>
  <c r="G84" i="4" s="1"/>
  <c r="E91" i="4"/>
  <c r="G85" i="4" s="1"/>
  <c r="E92" i="4"/>
  <c r="G86" i="4" s="1"/>
  <c r="E93" i="4"/>
  <c r="E94" i="4"/>
  <c r="G94" i="4" s="1"/>
  <c r="E95" i="4"/>
  <c r="E96" i="4"/>
  <c r="E97" i="4"/>
  <c r="G91" i="4" s="1"/>
  <c r="E98" i="4"/>
  <c r="E99" i="4"/>
  <c r="E100" i="4"/>
  <c r="E101" i="4"/>
  <c r="G95" i="4" s="1"/>
  <c r="E102" i="4"/>
  <c r="G96" i="4" s="1"/>
  <c r="E103" i="4"/>
  <c r="G97" i="4" s="1"/>
  <c r="E104" i="4"/>
  <c r="G98" i="4" s="1"/>
  <c r="E105" i="4"/>
  <c r="E106" i="4"/>
  <c r="E107" i="4"/>
  <c r="E108" i="4"/>
  <c r="E109" i="4"/>
  <c r="G103" i="4" s="1"/>
  <c r="E110" i="4"/>
  <c r="E111" i="4"/>
  <c r="E112" i="4"/>
  <c r="E113" i="4"/>
  <c r="G107" i="4" s="1"/>
  <c r="E114" i="4"/>
  <c r="G108" i="4" s="1"/>
  <c r="E115" i="4"/>
  <c r="G109" i="4" s="1"/>
  <c r="E116" i="4"/>
  <c r="G110" i="4" s="1"/>
  <c r="E117" i="4"/>
  <c r="G117" i="4" s="1"/>
  <c r="E118" i="4"/>
  <c r="G118" i="4" s="1"/>
  <c r="E119" i="4"/>
  <c r="E120" i="4"/>
  <c r="E121" i="4"/>
  <c r="G115" i="4" s="1"/>
  <c r="E122" i="4"/>
  <c r="E123" i="4"/>
  <c r="E124" i="4"/>
  <c r="E125" i="4"/>
  <c r="G119" i="4" s="1"/>
  <c r="E126" i="4"/>
  <c r="G120" i="4" s="1"/>
  <c r="E127" i="4"/>
  <c r="G121" i="4" s="1"/>
  <c r="E128" i="4"/>
  <c r="G122" i="4" s="1"/>
  <c r="E129" i="4"/>
  <c r="G129" i="4" s="1"/>
  <c r="E130" i="4"/>
  <c r="G130" i="4" s="1"/>
  <c r="E131" i="4"/>
  <c r="E132" i="4"/>
  <c r="E133" i="4"/>
  <c r="G127" i="4" s="1"/>
  <c r="E134" i="4"/>
  <c r="E135" i="4"/>
  <c r="E136" i="4"/>
  <c r="E137" i="4"/>
  <c r="G131" i="4" s="1"/>
  <c r="E138" i="4"/>
  <c r="G132" i="4" s="1"/>
  <c r="E139" i="4"/>
  <c r="G133" i="4" s="1"/>
  <c r="E140" i="4"/>
  <c r="G134" i="4" s="1"/>
  <c r="E141" i="4"/>
  <c r="E142" i="4"/>
  <c r="G142" i="4" s="1"/>
  <c r="E143" i="4"/>
  <c r="E144" i="4"/>
  <c r="E145" i="4"/>
  <c r="G139" i="4" s="1"/>
  <c r="E146" i="4"/>
  <c r="E147" i="4"/>
  <c r="E148" i="4"/>
  <c r="E149" i="4"/>
  <c r="G143" i="4" s="1"/>
  <c r="E150" i="4"/>
  <c r="G144" i="4" s="1"/>
  <c r="E151" i="4"/>
  <c r="G145" i="4" s="1"/>
  <c r="E152" i="4"/>
  <c r="G146" i="4" s="1"/>
  <c r="E153" i="4"/>
  <c r="E154" i="4"/>
  <c r="E155" i="4"/>
  <c r="E156" i="4"/>
  <c r="E157" i="4"/>
  <c r="G151" i="4" s="1"/>
  <c r="E158" i="4"/>
  <c r="E159" i="4"/>
  <c r="E160" i="4"/>
  <c r="E161" i="4"/>
  <c r="G155" i="4" s="1"/>
  <c r="E162" i="4"/>
  <c r="G156" i="4" s="1"/>
  <c r="E163" i="4"/>
  <c r="G157" i="4" s="1"/>
  <c r="E164" i="4"/>
  <c r="G158" i="4" s="1"/>
  <c r="E165" i="4"/>
  <c r="G165" i="4" s="1"/>
  <c r="E166" i="4"/>
  <c r="G166" i="4" s="1"/>
  <c r="E167" i="4"/>
  <c r="E168" i="4"/>
  <c r="E169" i="4"/>
  <c r="G163" i="4" s="1"/>
  <c r="E170" i="4"/>
  <c r="E171" i="4"/>
  <c r="E172" i="4"/>
  <c r="E173" i="4"/>
  <c r="G167" i="4" s="1"/>
  <c r="E174" i="4"/>
  <c r="G168" i="4" s="1"/>
  <c r="E175" i="4"/>
  <c r="G169" i="4" s="1"/>
  <c r="E176" i="4"/>
  <c r="G170" i="4" s="1"/>
  <c r="E177" i="4"/>
  <c r="G177" i="4" s="1"/>
  <c r="E178" i="4"/>
  <c r="G178" i="4" s="1"/>
  <c r="E179" i="4"/>
  <c r="E180" i="4"/>
  <c r="E181" i="4"/>
  <c r="G175" i="4" s="1"/>
  <c r="E182" i="4"/>
  <c r="E183" i="4"/>
  <c r="E184" i="4"/>
  <c r="E185" i="4"/>
  <c r="G179" i="4" s="1"/>
  <c r="E186" i="4"/>
  <c r="G180" i="4" s="1"/>
  <c r="E187" i="4"/>
  <c r="G181" i="4" s="1"/>
  <c r="E188" i="4"/>
  <c r="G182" i="4" s="1"/>
  <c r="E189" i="4"/>
  <c r="E190" i="4"/>
  <c r="G190" i="4" s="1"/>
  <c r="E191" i="4"/>
  <c r="E192" i="4"/>
  <c r="E193" i="4"/>
  <c r="G187" i="4" s="1"/>
  <c r="E194" i="4"/>
  <c r="E195" i="4"/>
  <c r="E196" i="4"/>
  <c r="E197" i="4"/>
  <c r="G191" i="4" s="1"/>
  <c r="E198" i="4"/>
  <c r="G192" i="4" s="1"/>
  <c r="E199" i="4"/>
  <c r="E200" i="4"/>
  <c r="G194" i="4" s="1"/>
  <c r="E201" i="4"/>
  <c r="E202" i="4"/>
  <c r="E203" i="4"/>
  <c r="E204" i="4"/>
  <c r="E205" i="4"/>
  <c r="G199" i="4" s="1"/>
  <c r="E206" i="4"/>
  <c r="E207" i="4"/>
  <c r="E208" i="4"/>
  <c r="E209" i="4"/>
  <c r="G203" i="4" s="1"/>
  <c r="E210" i="4"/>
  <c r="G204" i="4" s="1"/>
  <c r="E211" i="4"/>
  <c r="E212" i="4"/>
  <c r="G206" i="4" s="1"/>
  <c r="E213" i="4"/>
  <c r="G213" i="4" s="1"/>
  <c r="E214" i="4"/>
  <c r="G214" i="4" s="1"/>
  <c r="E215" i="4"/>
  <c r="E216" i="4"/>
  <c r="E217" i="4"/>
  <c r="G211" i="4" s="1"/>
  <c r="E218" i="4"/>
  <c r="E219" i="4"/>
  <c r="E220" i="4"/>
  <c r="E221" i="4"/>
  <c r="G215" i="4" s="1"/>
  <c r="E222" i="4"/>
  <c r="G216" i="4" s="1"/>
  <c r="E223" i="4"/>
  <c r="E224" i="4"/>
  <c r="G218" i="4" s="1"/>
  <c r="E225" i="4"/>
  <c r="G225" i="4" s="1"/>
  <c r="E226" i="4"/>
  <c r="G226" i="4" s="1"/>
  <c r="E227" i="4"/>
  <c r="E228" i="4"/>
  <c r="E229" i="4"/>
  <c r="G223" i="4" s="1"/>
  <c r="E230" i="4"/>
  <c r="E231" i="4"/>
  <c r="E232" i="4"/>
  <c r="E233" i="4"/>
  <c r="G227" i="4" s="1"/>
  <c r="E234" i="4"/>
  <c r="G228" i="4" s="1"/>
  <c r="E235" i="4"/>
  <c r="E236" i="4"/>
  <c r="G230" i="4" s="1"/>
  <c r="E237" i="4"/>
  <c r="E238" i="4"/>
  <c r="G238" i="4" s="1"/>
  <c r="E239" i="4"/>
  <c r="E240" i="4"/>
  <c r="E241" i="4"/>
  <c r="G235" i="4" s="1"/>
  <c r="E242" i="4"/>
  <c r="E243" i="4"/>
  <c r="E244" i="4"/>
  <c r="E245" i="4"/>
  <c r="G239" i="4" s="1"/>
  <c r="E246" i="4"/>
  <c r="G240" i="4" s="1"/>
  <c r="E247" i="4"/>
  <c r="E248" i="4"/>
  <c r="G242" i="4" s="1"/>
  <c r="E249" i="4"/>
  <c r="E250" i="4"/>
  <c r="E251" i="4"/>
  <c r="E252" i="4"/>
  <c r="E253" i="4"/>
  <c r="G247" i="4" s="1"/>
  <c r="E254" i="4"/>
  <c r="E255" i="4"/>
  <c r="E256" i="4"/>
  <c r="E257" i="4"/>
  <c r="G251" i="4" s="1"/>
  <c r="E258" i="4"/>
  <c r="G252" i="4" s="1"/>
  <c r="E259" i="4"/>
  <c r="E260" i="4"/>
  <c r="G254" i="4" s="1"/>
  <c r="E261" i="4"/>
  <c r="G261" i="4" s="1"/>
  <c r="E262" i="4"/>
  <c r="G262" i="4" s="1"/>
  <c r="E263" i="4"/>
  <c r="E264" i="4"/>
  <c r="E265" i="4"/>
  <c r="G259" i="4" s="1"/>
  <c r="E266" i="4"/>
  <c r="E267" i="4"/>
  <c r="E268" i="4"/>
  <c r="E269" i="4"/>
  <c r="G263" i="4" s="1"/>
  <c r="E270" i="4"/>
  <c r="G264" i="4" s="1"/>
  <c r="E271" i="4"/>
  <c r="E272" i="4"/>
  <c r="G266" i="4" s="1"/>
  <c r="E273" i="4"/>
  <c r="G273" i="4" s="1"/>
  <c r="E274" i="4"/>
  <c r="G274" i="4" s="1"/>
  <c r="E275" i="4"/>
  <c r="E276" i="4"/>
  <c r="E277" i="4"/>
  <c r="G271" i="4" s="1"/>
  <c r="E278" i="4"/>
  <c r="E279" i="4"/>
  <c r="E280" i="4"/>
  <c r="E281" i="4"/>
  <c r="G275" i="4" s="1"/>
  <c r="E282" i="4"/>
  <c r="G276" i="4" s="1"/>
  <c r="E283" i="4"/>
  <c r="E284" i="4"/>
  <c r="G278" i="4" s="1"/>
  <c r="E285" i="4"/>
  <c r="E286" i="4"/>
  <c r="G286" i="4" s="1"/>
  <c r="E287" i="4"/>
  <c r="E288" i="4"/>
  <c r="E289" i="4"/>
  <c r="G283" i="4" s="1"/>
  <c r="E290" i="4"/>
  <c r="E291" i="4"/>
  <c r="E292" i="4"/>
  <c r="E293" i="4"/>
  <c r="G287" i="4" s="1"/>
  <c r="E294" i="4"/>
  <c r="G288" i="4" s="1"/>
  <c r="E295" i="4"/>
  <c r="E296" i="4"/>
  <c r="G290" i="4" s="1"/>
  <c r="E297" i="4"/>
  <c r="E298" i="4"/>
  <c r="E299" i="4"/>
  <c r="E300" i="4"/>
  <c r="E301" i="4"/>
  <c r="G295" i="4" s="1"/>
  <c r="E302" i="4"/>
  <c r="E303" i="4"/>
  <c r="E304" i="4"/>
  <c r="E305" i="4"/>
  <c r="G299" i="4" s="1"/>
  <c r="E306" i="4"/>
  <c r="G300" i="4" s="1"/>
  <c r="E307" i="4"/>
  <c r="E308" i="4"/>
  <c r="G302" i="4" s="1"/>
  <c r="E309" i="4"/>
  <c r="G309" i="4" s="1"/>
  <c r="E310" i="4"/>
  <c r="G310" i="4" s="1"/>
  <c r="E311" i="4"/>
  <c r="E312" i="4"/>
  <c r="E313" i="4"/>
  <c r="G307" i="4" s="1"/>
  <c r="E314" i="4"/>
  <c r="E315" i="4"/>
  <c r="E316" i="4"/>
  <c r="E317" i="4"/>
  <c r="G311" i="4" s="1"/>
  <c r="E318" i="4"/>
  <c r="G312" i="4" s="1"/>
  <c r="E319" i="4"/>
  <c r="E320" i="4"/>
  <c r="G314" i="4" s="1"/>
  <c r="E321" i="4"/>
  <c r="G321" i="4" s="1"/>
  <c r="E322" i="4"/>
  <c r="G322" i="4" s="1"/>
  <c r="E323" i="4"/>
  <c r="E324" i="4"/>
  <c r="E325" i="4"/>
  <c r="G319" i="4" s="1"/>
  <c r="E326" i="4"/>
  <c r="E327" i="4"/>
  <c r="E328" i="4"/>
  <c r="E329" i="4"/>
  <c r="G323" i="4" s="1"/>
  <c r="E330" i="4"/>
  <c r="G324" i="4" s="1"/>
  <c r="E331" i="4"/>
  <c r="E332" i="4"/>
  <c r="G326" i="4" s="1"/>
  <c r="E333" i="4"/>
  <c r="E334" i="4"/>
  <c r="G334" i="4" s="1"/>
  <c r="E335" i="4"/>
  <c r="E336" i="4"/>
  <c r="E337" i="4"/>
  <c r="G331" i="4" s="1"/>
  <c r="E338" i="4"/>
  <c r="E339" i="4"/>
  <c r="E340" i="4"/>
  <c r="E341" i="4"/>
  <c r="G335" i="4" s="1"/>
  <c r="E342" i="4"/>
  <c r="G336" i="4" s="1"/>
  <c r="E343" i="4"/>
  <c r="E344" i="4"/>
  <c r="G338" i="4" s="1"/>
  <c r="E345" i="4"/>
  <c r="E346" i="4"/>
  <c r="E347" i="4"/>
  <c r="E348" i="4"/>
  <c r="E349" i="4"/>
  <c r="G343" i="4" s="1"/>
  <c r="E350" i="4"/>
  <c r="E351" i="4"/>
  <c r="E352" i="4"/>
  <c r="E353" i="4"/>
  <c r="G347" i="4" s="1"/>
  <c r="E354" i="4"/>
  <c r="G348" i="4" s="1"/>
  <c r="E355" i="4"/>
  <c r="G349" i="4" s="1"/>
  <c r="E356" i="4"/>
  <c r="G350" i="4" s="1"/>
  <c r="E357" i="4"/>
  <c r="G357" i="4" s="1"/>
  <c r="E358" i="4"/>
  <c r="G358" i="4" s="1"/>
  <c r="E359" i="4"/>
  <c r="E360" i="4"/>
  <c r="E361" i="4"/>
  <c r="E362" i="4"/>
  <c r="E363" i="4"/>
  <c r="E364" i="4"/>
  <c r="E365" i="4"/>
  <c r="G359" i="4" s="1"/>
  <c r="E366" i="4"/>
  <c r="G360" i="4" s="1"/>
  <c r="E367" i="4"/>
  <c r="G361" i="4" s="1"/>
  <c r="E368" i="4"/>
  <c r="G362" i="4" s="1"/>
  <c r="E369" i="4"/>
  <c r="G369" i="4" s="1"/>
  <c r="E370" i="4"/>
  <c r="G370" i="4" s="1"/>
  <c r="E371" i="4"/>
  <c r="E372" i="4"/>
  <c r="E373" i="4"/>
  <c r="E374" i="4"/>
  <c r="E375" i="4"/>
  <c r="E376" i="4"/>
  <c r="E377" i="4"/>
  <c r="G371" i="4" s="1"/>
  <c r="E378" i="4"/>
  <c r="G372" i="4" s="1"/>
  <c r="E379" i="4"/>
  <c r="G373" i="4" s="1"/>
  <c r="E380" i="4"/>
  <c r="G374" i="4" s="1"/>
  <c r="E381" i="4"/>
  <c r="E382" i="4"/>
  <c r="G382" i="4" s="1"/>
  <c r="E383" i="4"/>
  <c r="E384" i="4"/>
  <c r="E385" i="4"/>
  <c r="E386" i="4"/>
  <c r="E387" i="4"/>
  <c r="E388" i="4"/>
  <c r="E389" i="4"/>
  <c r="G383" i="4" s="1"/>
  <c r="E390" i="4"/>
  <c r="G384" i="4" s="1"/>
  <c r="E391" i="4"/>
  <c r="G385" i="4" s="1"/>
  <c r="E392" i="4"/>
  <c r="G386" i="4" s="1"/>
  <c r="E393" i="4"/>
  <c r="E394" i="4"/>
  <c r="E395" i="4"/>
  <c r="E396" i="4"/>
  <c r="E397" i="4"/>
  <c r="E398" i="4"/>
  <c r="E399" i="4"/>
  <c r="E400" i="4"/>
  <c r="E401" i="4"/>
  <c r="G395" i="4" s="1"/>
  <c r="E402" i="4"/>
  <c r="G396" i="4" s="1"/>
  <c r="E403" i="4"/>
  <c r="G397" i="4" s="1"/>
  <c r="E404" i="4"/>
  <c r="G398" i="4" s="1"/>
  <c r="E405" i="4"/>
  <c r="G405" i="4" s="1"/>
  <c r="E406" i="4"/>
  <c r="G406" i="4" s="1"/>
  <c r="E407" i="4"/>
  <c r="E408" i="4"/>
  <c r="E409" i="4"/>
  <c r="E410" i="4"/>
  <c r="E411" i="4"/>
  <c r="E412" i="4"/>
  <c r="E413" i="4"/>
  <c r="G407" i="4" s="1"/>
  <c r="E414" i="4"/>
  <c r="G408" i="4" s="1"/>
  <c r="E415" i="4"/>
  <c r="G409" i="4" s="1"/>
  <c r="E416" i="4"/>
  <c r="G410" i="4" s="1"/>
  <c r="E417" i="4"/>
  <c r="G417" i="4" s="1"/>
  <c r="E418" i="4"/>
  <c r="G418" i="4" s="1"/>
  <c r="E419" i="4"/>
  <c r="E420" i="4"/>
  <c r="E421" i="4"/>
  <c r="E422" i="4"/>
  <c r="E423" i="4"/>
  <c r="E424" i="4"/>
  <c r="E425" i="4"/>
  <c r="G419" i="4" s="1"/>
  <c r="E426" i="4"/>
  <c r="G420" i="4" s="1"/>
  <c r="E427" i="4"/>
  <c r="G421" i="4" s="1"/>
  <c r="E428" i="4"/>
  <c r="G422" i="4" s="1"/>
  <c r="E429" i="4"/>
  <c r="E430" i="4"/>
  <c r="G430" i="4" s="1"/>
  <c r="E431" i="4"/>
  <c r="E432" i="4"/>
  <c r="E433" i="4"/>
  <c r="E434" i="4"/>
  <c r="E435" i="4"/>
  <c r="E436" i="4"/>
  <c r="E437" i="4"/>
  <c r="G431" i="4" s="1"/>
  <c r="E438" i="4"/>
  <c r="G432" i="4" s="1"/>
  <c r="E439" i="4"/>
  <c r="G433" i="4" s="1"/>
  <c r="E440" i="4"/>
  <c r="G434" i="4" s="1"/>
  <c r="E441" i="4"/>
  <c r="E442" i="4"/>
  <c r="E443" i="4"/>
  <c r="E444" i="4"/>
  <c r="E445" i="4"/>
  <c r="E446" i="4"/>
  <c r="E447" i="4"/>
  <c r="E448" i="4"/>
  <c r="E449" i="4"/>
  <c r="G443" i="4" s="1"/>
  <c r="E450" i="4"/>
  <c r="G444" i="4" s="1"/>
  <c r="E451" i="4"/>
  <c r="G445" i="4" s="1"/>
  <c r="E452" i="4"/>
  <c r="G446" i="4" s="1"/>
  <c r="E453" i="4"/>
  <c r="G453" i="4" s="1"/>
  <c r="E454" i="4"/>
  <c r="G454" i="4" s="1"/>
  <c r="E455" i="4"/>
  <c r="E456" i="4"/>
  <c r="E457" i="4"/>
  <c r="E458" i="4"/>
  <c r="E459" i="4"/>
  <c r="E460" i="4"/>
  <c r="E461" i="4"/>
  <c r="G455" i="4" s="1"/>
  <c r="E462" i="4"/>
  <c r="G456" i="4" s="1"/>
  <c r="E463" i="4"/>
  <c r="G457" i="4" s="1"/>
  <c r="E464" i="4"/>
  <c r="G458" i="4" s="1"/>
  <c r="E465" i="4"/>
  <c r="G465" i="4" s="1"/>
  <c r="E466" i="4"/>
  <c r="G466" i="4" s="1"/>
  <c r="E467" i="4"/>
  <c r="E468" i="4"/>
  <c r="E469" i="4"/>
  <c r="E470" i="4"/>
  <c r="E471" i="4"/>
  <c r="E472" i="4"/>
  <c r="E473" i="4"/>
  <c r="G467" i="4" s="1"/>
  <c r="E474" i="4"/>
  <c r="G468" i="4" s="1"/>
  <c r="E475" i="4"/>
  <c r="G469" i="4" s="1"/>
  <c r="E476" i="4"/>
  <c r="G470" i="4" s="1"/>
  <c r="E477" i="4"/>
  <c r="E478" i="4"/>
  <c r="G478" i="4" s="1"/>
  <c r="E479" i="4"/>
  <c r="E480" i="4"/>
  <c r="E481" i="4"/>
  <c r="E482" i="4"/>
  <c r="E483" i="4"/>
  <c r="E484" i="4"/>
  <c r="E485" i="4"/>
  <c r="G479" i="4" s="1"/>
  <c r="E486" i="4"/>
  <c r="G480" i="4" s="1"/>
  <c r="E487" i="4"/>
  <c r="G481" i="4" s="1"/>
  <c r="E488" i="4"/>
  <c r="G482" i="4" s="1"/>
  <c r="E489" i="4"/>
  <c r="E490" i="4"/>
  <c r="E491" i="4"/>
  <c r="E492" i="4"/>
  <c r="E493" i="4"/>
  <c r="E494" i="4"/>
  <c r="E495" i="4"/>
  <c r="E496" i="4"/>
  <c r="E497" i="4"/>
  <c r="G491" i="4" s="1"/>
  <c r="E498" i="4"/>
  <c r="G492" i="4" s="1"/>
  <c r="E499" i="4"/>
  <c r="G493" i="4" s="1"/>
  <c r="E500" i="4"/>
  <c r="G494" i="4" s="1"/>
  <c r="E501" i="4"/>
  <c r="G501" i="4" s="1"/>
  <c r="E502" i="4"/>
  <c r="G502" i="4" s="1"/>
  <c r="E503" i="4"/>
  <c r="E504" i="4"/>
  <c r="E505" i="4"/>
  <c r="E506" i="4"/>
  <c r="E507" i="4"/>
  <c r="E508" i="4"/>
  <c r="E509" i="4"/>
  <c r="G503" i="4" s="1"/>
  <c r="E510" i="4"/>
  <c r="G504" i="4" s="1"/>
  <c r="E511" i="4"/>
  <c r="G505" i="4" s="1"/>
  <c r="E512" i="4"/>
  <c r="G506" i="4" s="1"/>
  <c r="E513" i="4"/>
  <c r="G513" i="4" s="1"/>
  <c r="E514" i="4"/>
  <c r="G514" i="4" s="1"/>
  <c r="E515" i="4"/>
  <c r="E516" i="4"/>
  <c r="E517" i="4"/>
  <c r="E518" i="4"/>
  <c r="E519" i="4"/>
  <c r="E520" i="4"/>
  <c r="E521" i="4"/>
  <c r="G515" i="4" s="1"/>
  <c r="E522" i="4"/>
  <c r="G516" i="4" s="1"/>
  <c r="E523" i="4"/>
  <c r="G517" i="4" s="1"/>
  <c r="E524" i="4"/>
  <c r="G518" i="4" s="1"/>
  <c r="E525" i="4"/>
  <c r="E526" i="4"/>
  <c r="G526" i="4" s="1"/>
  <c r="E527" i="4"/>
  <c r="E528" i="4"/>
  <c r="E529" i="4"/>
  <c r="E530" i="4"/>
  <c r="E531" i="4"/>
  <c r="E532" i="4"/>
  <c r="E533" i="4"/>
  <c r="G527" i="4" s="1"/>
  <c r="E534" i="4"/>
  <c r="G528" i="4" s="1"/>
  <c r="E535" i="4"/>
  <c r="G529" i="4" s="1"/>
  <c r="E536" i="4"/>
  <c r="G530" i="4" s="1"/>
  <c r="E537" i="4"/>
  <c r="E538" i="4"/>
  <c r="E539" i="4"/>
  <c r="E540" i="4"/>
  <c r="E541" i="4"/>
  <c r="E542" i="4"/>
  <c r="E543" i="4"/>
  <c r="E544" i="4"/>
  <c r="E545" i="4"/>
  <c r="G539" i="4" s="1"/>
  <c r="E546" i="4"/>
  <c r="G540" i="4" s="1"/>
  <c r="E547" i="4"/>
  <c r="G541" i="4" s="1"/>
  <c r="E548" i="4"/>
  <c r="G542" i="4" s="1"/>
  <c r="E549" i="4"/>
  <c r="E550" i="4"/>
  <c r="E551" i="4"/>
  <c r="E552" i="4"/>
  <c r="E553" i="4"/>
  <c r="E554" i="4"/>
  <c r="E555" i="4"/>
  <c r="E556" i="4"/>
  <c r="E557" i="4"/>
  <c r="G551" i="4" s="1"/>
  <c r="E558" i="4"/>
  <c r="G552" i="4" s="1"/>
  <c r="E559" i="4"/>
  <c r="G553" i="4" s="1"/>
  <c r="E560" i="4"/>
  <c r="G554" i="4" s="1"/>
  <c r="E561" i="4"/>
  <c r="E562" i="4"/>
  <c r="G562" i="4" s="1"/>
  <c r="E563" i="4"/>
  <c r="E564" i="4"/>
  <c r="E565" i="4"/>
  <c r="E566" i="4"/>
  <c r="E567" i="4"/>
  <c r="E568" i="4"/>
  <c r="E569" i="4"/>
  <c r="G563" i="4" s="1"/>
  <c r="E570" i="4"/>
  <c r="G564" i="4" s="1"/>
  <c r="E571" i="4"/>
  <c r="G565" i="4" s="1"/>
  <c r="E572" i="4"/>
  <c r="G566" i="4" s="1"/>
  <c r="E573" i="4"/>
  <c r="E574" i="4"/>
  <c r="G574" i="4" s="1"/>
  <c r="E575" i="4"/>
  <c r="E576" i="4"/>
  <c r="E577" i="4"/>
  <c r="E578" i="4"/>
  <c r="E579" i="4"/>
  <c r="E580" i="4"/>
  <c r="E581" i="4"/>
  <c r="G575" i="4" s="1"/>
  <c r="E582" i="4"/>
  <c r="G576" i="4" s="1"/>
  <c r="E583" i="4"/>
  <c r="G577" i="4" s="1"/>
  <c r="E584" i="4"/>
  <c r="G578" i="4" s="1"/>
  <c r="E585" i="4"/>
  <c r="E586" i="4"/>
  <c r="E587" i="4"/>
  <c r="E588" i="4"/>
  <c r="E589" i="4"/>
  <c r="E590" i="4"/>
  <c r="E591" i="4"/>
  <c r="E592" i="4"/>
  <c r="E593" i="4"/>
  <c r="G587" i="4" s="1"/>
  <c r="E594" i="4"/>
  <c r="G588" i="4" s="1"/>
  <c r="E595" i="4"/>
  <c r="G589" i="4" s="1"/>
  <c r="E596" i="4"/>
  <c r="G590" i="4" s="1"/>
  <c r="E597" i="4"/>
  <c r="E598" i="4"/>
  <c r="G598" i="4" s="1"/>
  <c r="E599" i="4"/>
  <c r="E600" i="4"/>
  <c r="E601" i="4"/>
  <c r="E602" i="4"/>
  <c r="E603" i="4"/>
  <c r="E604" i="4"/>
  <c r="E605" i="4"/>
  <c r="G599" i="4" s="1"/>
  <c r="E606" i="4"/>
  <c r="G600" i="4" s="1"/>
  <c r="E607" i="4"/>
  <c r="G601" i="4" s="1"/>
  <c r="E608" i="4"/>
  <c r="G602" i="4" s="1"/>
  <c r="E609" i="4"/>
  <c r="E610" i="4"/>
  <c r="E611" i="4"/>
  <c r="E612" i="4"/>
  <c r="E613" i="4"/>
  <c r="E614" i="4"/>
  <c r="E615" i="4"/>
  <c r="E616" i="4"/>
  <c r="E617" i="4"/>
  <c r="G611" i="4" s="1"/>
  <c r="E618" i="4"/>
  <c r="G612" i="4" s="1"/>
  <c r="E619" i="4"/>
  <c r="G613" i="4" s="1"/>
  <c r="E620" i="4"/>
  <c r="G614" i="4" s="1"/>
  <c r="E621" i="4"/>
  <c r="E622" i="4"/>
  <c r="E623" i="4"/>
  <c r="E624" i="4"/>
  <c r="E625" i="4"/>
  <c r="E626" i="4"/>
  <c r="E627" i="4"/>
  <c r="E628" i="4"/>
  <c r="E629" i="4"/>
  <c r="G623" i="4" s="1"/>
  <c r="E630" i="4"/>
  <c r="G624" i="4" s="1"/>
  <c r="E631" i="4"/>
  <c r="G625" i="4" s="1"/>
  <c r="E632" i="4"/>
  <c r="G626" i="4" s="1"/>
  <c r="E633" i="4"/>
  <c r="E634" i="4"/>
  <c r="G634" i="4" s="1"/>
  <c r="E635" i="4"/>
  <c r="E636" i="4"/>
  <c r="E637" i="4"/>
  <c r="E638" i="4"/>
  <c r="E639" i="4"/>
  <c r="E640" i="4"/>
  <c r="E641" i="4"/>
  <c r="G635" i="4" s="1"/>
  <c r="E642" i="4"/>
  <c r="G636" i="4" s="1"/>
  <c r="E643" i="4"/>
  <c r="G637" i="4" s="1"/>
  <c r="E644" i="4"/>
  <c r="G638" i="4" s="1"/>
  <c r="E645" i="4"/>
  <c r="E646" i="4"/>
  <c r="G646" i="4" s="1"/>
  <c r="E647" i="4"/>
  <c r="G647" i="4" s="1"/>
  <c r="E648" i="4"/>
  <c r="E649" i="4"/>
  <c r="G649" i="4" s="1"/>
  <c r="E650" i="4"/>
  <c r="G650" i="4" s="1"/>
  <c r="E651" i="4"/>
  <c r="E652" i="4"/>
  <c r="G652" i="4" s="1"/>
  <c r="E12" i="4"/>
  <c r="E13" i="4"/>
  <c r="E14" i="4"/>
  <c r="E15" i="4"/>
  <c r="E16" i="4"/>
  <c r="G10" i="4" s="1"/>
  <c r="E17" i="4"/>
  <c r="E18" i="4"/>
  <c r="E19" i="4"/>
  <c r="E20" i="4"/>
  <c r="E21" i="4"/>
  <c r="E22" i="4"/>
  <c r="E23" i="4"/>
  <c r="G17" i="4" s="1"/>
  <c r="E24" i="4"/>
  <c r="G18" i="4" s="1"/>
  <c r="E25" i="4"/>
  <c r="G19" i="4" s="1"/>
  <c r="E26" i="4"/>
  <c r="G20" i="4" s="1"/>
  <c r="E27" i="4"/>
  <c r="G21" i="4" s="1"/>
  <c r="E28" i="4"/>
  <c r="E29" i="4"/>
  <c r="E30" i="4"/>
  <c r="E31" i="4"/>
  <c r="E32" i="4"/>
  <c r="E33" i="4"/>
  <c r="E34" i="4"/>
  <c r="E35" i="4"/>
  <c r="G29" i="4" s="1"/>
  <c r="E36" i="4"/>
  <c r="G30" i="4" s="1"/>
  <c r="E37" i="4"/>
  <c r="G31" i="4" s="1"/>
  <c r="E38" i="4"/>
  <c r="G32" i="4" s="1"/>
  <c r="E39" i="4"/>
  <c r="G33" i="4" s="1"/>
  <c r="E40" i="4"/>
  <c r="E41" i="4"/>
  <c r="E42" i="4"/>
  <c r="E43" i="4"/>
  <c r="E44" i="4"/>
  <c r="E45" i="4"/>
  <c r="E46" i="4"/>
  <c r="E47" i="4"/>
  <c r="G41" i="4" s="1"/>
  <c r="E48" i="4"/>
  <c r="G42" i="4" s="1"/>
  <c r="E49" i="4"/>
  <c r="G43" i="4" s="1"/>
  <c r="E50" i="4"/>
  <c r="G44" i="4" s="1"/>
  <c r="E51" i="4"/>
  <c r="G45" i="4" s="1"/>
  <c r="E52" i="4"/>
  <c r="E53" i="4"/>
  <c r="E54" i="4"/>
  <c r="E55" i="4"/>
  <c r="E56" i="4"/>
  <c r="E57" i="4"/>
  <c r="E58" i="4"/>
  <c r="E59" i="4"/>
  <c r="G53" i="4" s="1"/>
  <c r="E60" i="4"/>
  <c r="G54" i="4" s="1"/>
  <c r="E61" i="4"/>
  <c r="G55" i="4" s="1"/>
  <c r="E62" i="4"/>
  <c r="G56" i="4" s="1"/>
  <c r="E63" i="4"/>
  <c r="G57" i="4" s="1"/>
  <c r="E64" i="4"/>
  <c r="E65" i="4"/>
  <c r="E66" i="4"/>
  <c r="E67" i="4"/>
  <c r="E68" i="4"/>
  <c r="E69" i="4"/>
  <c r="E70" i="4"/>
  <c r="E71" i="4"/>
  <c r="G65" i="4" s="1"/>
  <c r="E72" i="4"/>
  <c r="G66" i="4" s="1"/>
  <c r="E73" i="4"/>
  <c r="G67" i="4" s="1"/>
  <c r="E74" i="4"/>
  <c r="G68" i="4" s="1"/>
  <c r="E75" i="4"/>
  <c r="G69" i="4" s="1"/>
  <c r="E76" i="4"/>
  <c r="E77" i="4"/>
  <c r="E78" i="4"/>
  <c r="E79" i="4"/>
  <c r="E80" i="4"/>
  <c r="E10" i="4"/>
  <c r="E11" i="4"/>
  <c r="E9"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13" i="4"/>
  <c r="C14" i="4"/>
  <c r="C15" i="4"/>
  <c r="C11" i="4"/>
  <c r="C12" i="4"/>
  <c r="C10" i="4"/>
  <c r="C9" i="4"/>
  <c r="I2701" i="3"/>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G536" i="4" l="1"/>
  <c r="G488" i="4"/>
  <c r="G440" i="4"/>
  <c r="G392" i="4"/>
  <c r="G596" i="4"/>
  <c r="G64" i="4"/>
  <c r="G52" i="4"/>
  <c r="G40" i="4"/>
  <c r="G28" i="4"/>
  <c r="G16" i="4"/>
  <c r="G645" i="4"/>
  <c r="G633" i="4"/>
  <c r="G621" i="4"/>
  <c r="G609" i="4"/>
  <c r="G597" i="4"/>
  <c r="G585" i="4"/>
  <c r="G573" i="4"/>
  <c r="G561" i="4"/>
  <c r="G549" i="4"/>
  <c r="G584" i="4"/>
  <c r="G524" i="4"/>
  <c r="G476" i="4"/>
  <c r="G428" i="4"/>
  <c r="G380" i="4"/>
  <c r="G332" i="4"/>
  <c r="G284" i="4"/>
  <c r="G236" i="4"/>
  <c r="G188" i="4"/>
  <c r="G140" i="4"/>
  <c r="G92" i="4"/>
  <c r="G63" i="4"/>
  <c r="G51" i="4"/>
  <c r="G39" i="4"/>
  <c r="G27" i="4"/>
  <c r="G15" i="4"/>
  <c r="G74" i="4"/>
  <c r="G50" i="4"/>
  <c r="G38" i="4"/>
  <c r="G14" i="4"/>
  <c r="G643" i="4"/>
  <c r="G631" i="4"/>
  <c r="G619" i="4"/>
  <c r="G607" i="4"/>
  <c r="G595" i="4"/>
  <c r="G583" i="4"/>
  <c r="G571" i="4"/>
  <c r="G559" i="4"/>
  <c r="G547" i="4"/>
  <c r="G535" i="4"/>
  <c r="G523" i="4"/>
  <c r="G511" i="4"/>
  <c r="G499" i="4"/>
  <c r="G487" i="4"/>
  <c r="G475" i="4"/>
  <c r="G463" i="4"/>
  <c r="G451" i="4"/>
  <c r="G439" i="4"/>
  <c r="G427" i="4"/>
  <c r="G415" i="4"/>
  <c r="G403" i="4"/>
  <c r="G391" i="4"/>
  <c r="G379" i="4"/>
  <c r="G367" i="4"/>
  <c r="G355" i="4"/>
  <c r="G79" i="4"/>
  <c r="G644" i="4"/>
  <c r="G572" i="4"/>
  <c r="G62" i="4"/>
  <c r="G26" i="4"/>
  <c r="G73" i="4"/>
  <c r="G61" i="4"/>
  <c r="G49" i="4"/>
  <c r="G37" i="4"/>
  <c r="G25" i="4"/>
  <c r="G13" i="4"/>
  <c r="G642" i="4"/>
  <c r="G630" i="4"/>
  <c r="G618" i="4"/>
  <c r="G606" i="4"/>
  <c r="G594" i="4"/>
  <c r="G582" i="4"/>
  <c r="G570" i="4"/>
  <c r="G558" i="4"/>
  <c r="G546" i="4"/>
  <c r="G534" i="4"/>
  <c r="G522" i="4"/>
  <c r="G510" i="4"/>
  <c r="G498" i="4"/>
  <c r="G486" i="4"/>
  <c r="G474" i="4"/>
  <c r="G462" i="4"/>
  <c r="G450" i="4"/>
  <c r="G438" i="4"/>
  <c r="G426" i="4"/>
  <c r="G414" i="4"/>
  <c r="G402" i="4"/>
  <c r="G390" i="4"/>
  <c r="G378" i="4"/>
  <c r="G366" i="4"/>
  <c r="G354" i="4"/>
  <c r="G342" i="4"/>
  <c r="G330" i="4"/>
  <c r="G318" i="4"/>
  <c r="G306" i="4"/>
  <c r="G294" i="4"/>
  <c r="G282" i="4"/>
  <c r="G270" i="4"/>
  <c r="G258" i="4"/>
  <c r="G246" i="4"/>
  <c r="G234" i="4"/>
  <c r="G222" i="4"/>
  <c r="G210" i="4"/>
  <c r="G198" i="4"/>
  <c r="G186" i="4"/>
  <c r="G174" i="4"/>
  <c r="G162" i="4"/>
  <c r="G150" i="4"/>
  <c r="G138" i="4"/>
  <c r="G126" i="4"/>
  <c r="G114" i="4"/>
  <c r="G102" i="4"/>
  <c r="G90" i="4"/>
  <c r="G78" i="4"/>
  <c r="G512" i="4"/>
  <c r="G464" i="4"/>
  <c r="G416" i="4"/>
  <c r="G368" i="4"/>
  <c r="G320" i="4"/>
  <c r="G272" i="4"/>
  <c r="G224" i="4"/>
  <c r="G176" i="4"/>
  <c r="G128" i="4"/>
  <c r="G80" i="4"/>
  <c r="G72" i="4"/>
  <c r="G48" i="4"/>
  <c r="G36" i="4"/>
  <c r="G24" i="4"/>
  <c r="G12" i="4"/>
  <c r="G641" i="4"/>
  <c r="G629" i="4"/>
  <c r="G617" i="4"/>
  <c r="G605" i="4"/>
  <c r="G593" i="4"/>
  <c r="G581" i="4"/>
  <c r="G569" i="4"/>
  <c r="G557" i="4"/>
  <c r="G545" i="4"/>
  <c r="G533" i="4"/>
  <c r="G521" i="4"/>
  <c r="G509" i="4"/>
  <c r="G497" i="4"/>
  <c r="G485" i="4"/>
  <c r="G473" i="4"/>
  <c r="G461" i="4"/>
  <c r="G449" i="4"/>
  <c r="G437" i="4"/>
  <c r="G425" i="4"/>
  <c r="G413" i="4"/>
  <c r="G401" i="4"/>
  <c r="G389" i="4"/>
  <c r="G377" i="4"/>
  <c r="G365" i="4"/>
  <c r="G353" i="4"/>
  <c r="G341" i="4"/>
  <c r="G329" i="4"/>
  <c r="G317" i="4"/>
  <c r="G305" i="4"/>
  <c r="G293" i="4"/>
  <c r="G281" i="4"/>
  <c r="G269" i="4"/>
  <c r="G257" i="4"/>
  <c r="G245" i="4"/>
  <c r="G233" i="4"/>
  <c r="G221" i="4"/>
  <c r="G209" i="4"/>
  <c r="G197" i="4"/>
  <c r="G185" i="4"/>
  <c r="G173" i="4"/>
  <c r="G161" i="4"/>
  <c r="G149" i="4"/>
  <c r="G137" i="4"/>
  <c r="G125" i="4"/>
  <c r="G113" i="4"/>
  <c r="G101" i="4"/>
  <c r="G89" i="4"/>
  <c r="G77" i="4"/>
  <c r="G632" i="4"/>
  <c r="G560" i="4"/>
  <c r="G70" i="4"/>
  <c r="G60" i="4"/>
  <c r="G71" i="4"/>
  <c r="G59" i="4"/>
  <c r="G47" i="4"/>
  <c r="G35" i="4"/>
  <c r="G23" i="4"/>
  <c r="G11" i="4"/>
  <c r="G640" i="4"/>
  <c r="G628" i="4"/>
  <c r="G616" i="4"/>
  <c r="G604" i="4"/>
  <c r="G592" i="4"/>
  <c r="G580" i="4"/>
  <c r="G568" i="4"/>
  <c r="G556" i="4"/>
  <c r="G544" i="4"/>
  <c r="G532" i="4"/>
  <c r="G520" i="4"/>
  <c r="G508" i="4"/>
  <c r="G496" i="4"/>
  <c r="G484" i="4"/>
  <c r="G472" i="4"/>
  <c r="G460" i="4"/>
  <c r="G448" i="4"/>
  <c r="G436" i="4"/>
  <c r="G424" i="4"/>
  <c r="G412" i="4"/>
  <c r="G400" i="4"/>
  <c r="G388" i="4"/>
  <c r="G376" i="4"/>
  <c r="G364" i="4"/>
  <c r="G352" i="4"/>
  <c r="G340" i="4"/>
  <c r="G328" i="4"/>
  <c r="G316" i="4"/>
  <c r="G304" i="4"/>
  <c r="G292" i="4"/>
  <c r="G280" i="4"/>
  <c r="G268" i="4"/>
  <c r="G256" i="4"/>
  <c r="G244" i="4"/>
  <c r="G232" i="4"/>
  <c r="G220" i="4"/>
  <c r="G208" i="4"/>
  <c r="G196" i="4"/>
  <c r="G184" i="4"/>
  <c r="G172" i="4"/>
  <c r="G160" i="4"/>
  <c r="G148" i="4"/>
  <c r="G136" i="4"/>
  <c r="G124" i="4"/>
  <c r="G112" i="4"/>
  <c r="G100" i="4"/>
  <c r="G88" i="4"/>
  <c r="G76" i="4"/>
  <c r="G622" i="4"/>
  <c r="G550" i="4"/>
  <c r="G58" i="4"/>
  <c r="G639" i="4"/>
  <c r="G627" i="4"/>
  <c r="G615" i="4"/>
  <c r="G603" i="4"/>
  <c r="G591" i="4"/>
  <c r="G579" i="4"/>
  <c r="G567" i="4"/>
  <c r="G555" i="4"/>
  <c r="G543" i="4"/>
  <c r="G531" i="4"/>
  <c r="G519" i="4"/>
  <c r="G507" i="4"/>
  <c r="G495" i="4"/>
  <c r="G483" i="4"/>
  <c r="G471" i="4"/>
  <c r="G459" i="4"/>
  <c r="G447" i="4"/>
  <c r="G435" i="4"/>
  <c r="G423" i="4"/>
  <c r="G411" i="4"/>
  <c r="G399" i="4"/>
  <c r="G387" i="4"/>
  <c r="G375" i="4"/>
  <c r="G363" i="4"/>
  <c r="G351" i="4"/>
  <c r="G339" i="4"/>
  <c r="G327" i="4"/>
  <c r="G315" i="4"/>
  <c r="G303" i="4"/>
  <c r="G291" i="4"/>
  <c r="G279" i="4"/>
  <c r="G267" i="4"/>
  <c r="G255" i="4"/>
  <c r="G243" i="4"/>
  <c r="G231" i="4"/>
  <c r="G219" i="4"/>
  <c r="G207" i="4"/>
  <c r="G195" i="4"/>
  <c r="G183" i="4"/>
  <c r="G171" i="4"/>
  <c r="G159" i="4"/>
  <c r="G147" i="4"/>
  <c r="G135" i="4"/>
  <c r="G123" i="4"/>
  <c r="G111" i="4"/>
  <c r="G99" i="4"/>
  <c r="G87" i="4"/>
  <c r="G75" i="4"/>
  <c r="G620" i="4"/>
  <c r="G548" i="4"/>
  <c r="G500" i="4"/>
  <c r="G452" i="4"/>
  <c r="G404" i="4"/>
  <c r="G356" i="4"/>
  <c r="G308" i="4"/>
  <c r="G260" i="4"/>
  <c r="G212" i="4"/>
  <c r="G164" i="4"/>
  <c r="G116" i="4"/>
  <c r="G46" i="4"/>
  <c r="G9" i="4"/>
  <c r="G610" i="4"/>
  <c r="G538" i="4"/>
  <c r="G490" i="4"/>
  <c r="G442" i="4"/>
  <c r="G394" i="4"/>
  <c r="G346" i="4"/>
  <c r="G298" i="4"/>
  <c r="G250" i="4"/>
  <c r="G202" i="4"/>
  <c r="G154" i="4"/>
  <c r="G106" i="4"/>
  <c r="G34" i="4"/>
  <c r="G337" i="4"/>
  <c r="G325" i="4"/>
  <c r="G313" i="4"/>
  <c r="G301" i="4"/>
  <c r="G289" i="4"/>
  <c r="G277" i="4"/>
  <c r="G265" i="4"/>
  <c r="G253" i="4"/>
  <c r="G241" i="4"/>
  <c r="G229" i="4"/>
  <c r="G217" i="4"/>
  <c r="G205" i="4"/>
  <c r="G193" i="4"/>
  <c r="G651" i="4"/>
  <c r="G608" i="4"/>
  <c r="G537" i="4"/>
  <c r="G489" i="4"/>
  <c r="G441" i="4"/>
  <c r="G393" i="4"/>
  <c r="G345" i="4"/>
  <c r="G297" i="4"/>
  <c r="G249" i="4"/>
  <c r="G201" i="4"/>
  <c r="G153" i="4"/>
  <c r="G105" i="4"/>
  <c r="G22" i="4"/>
  <c r="F15" i="4"/>
  <c r="F440" i="4"/>
  <c r="F320" i="4"/>
  <c r="F133" i="4"/>
  <c r="F428" i="4"/>
  <c r="F650" i="4"/>
  <c r="F638" i="4"/>
  <c r="F626" i="4"/>
  <c r="F614" i="4"/>
  <c r="F602" i="4"/>
  <c r="F590" i="4"/>
  <c r="F578" i="4"/>
  <c r="F566" i="4"/>
  <c r="F554" i="4"/>
  <c r="F542" i="4"/>
  <c r="F530" i="4"/>
  <c r="F518" i="4"/>
  <c r="F506" i="4"/>
  <c r="F494" i="4"/>
  <c r="F482" i="4"/>
  <c r="F470" i="4"/>
  <c r="F458" i="4"/>
  <c r="F446" i="4"/>
  <c r="F434" i="4"/>
  <c r="F422" i="4"/>
  <c r="F410" i="4"/>
  <c r="F398" i="4"/>
  <c r="F386" i="4"/>
  <c r="F374" i="4"/>
  <c r="F362" i="4"/>
  <c r="F350" i="4"/>
  <c r="F338" i="4"/>
  <c r="F326" i="4"/>
  <c r="F314" i="4"/>
  <c r="F302" i="4"/>
  <c r="F290" i="4"/>
  <c r="F278" i="4"/>
  <c r="F266" i="4"/>
  <c r="F254" i="4"/>
  <c r="F242" i="4"/>
  <c r="F230" i="4"/>
  <c r="F218" i="4"/>
  <c r="F206" i="4"/>
  <c r="F194" i="4"/>
  <c r="F182" i="4"/>
  <c r="F170" i="4"/>
  <c r="F158" i="4"/>
  <c r="F146" i="4"/>
  <c r="F134" i="4"/>
  <c r="F122" i="4"/>
  <c r="F110" i="4"/>
  <c r="F98" i="4"/>
  <c r="F86" i="4"/>
  <c r="F74" i="4"/>
  <c r="F62" i="4"/>
  <c r="F50" i="4"/>
  <c r="F38" i="4"/>
  <c r="F26" i="4"/>
  <c r="F121" i="4"/>
  <c r="F109" i="4"/>
  <c r="F97" i="4"/>
  <c r="F85" i="4"/>
  <c r="F73" i="4"/>
  <c r="F61" i="4"/>
  <c r="F49" i="4"/>
  <c r="F37" i="4"/>
  <c r="F25" i="4"/>
  <c r="F649" i="4"/>
  <c r="F601" i="4"/>
  <c r="F577" i="4"/>
  <c r="F553" i="4"/>
  <c r="F529" i="4"/>
  <c r="F505" i="4"/>
  <c r="F481" i="4"/>
  <c r="F457" i="4"/>
  <c r="F301" i="4"/>
  <c r="F265" i="4"/>
  <c r="F241" i="4"/>
  <c r="F193" i="4"/>
  <c r="F169" i="4"/>
  <c r="F648" i="4"/>
  <c r="F636" i="4"/>
  <c r="F624" i="4"/>
  <c r="F612" i="4"/>
  <c r="F600" i="4"/>
  <c r="F588" i="4"/>
  <c r="F576" i="4"/>
  <c r="F564" i="4"/>
  <c r="F552" i="4"/>
  <c r="F540" i="4"/>
  <c r="F528" i="4"/>
  <c r="F516" i="4"/>
  <c r="F504" i="4"/>
  <c r="F492" i="4"/>
  <c r="F480" i="4"/>
  <c r="F468" i="4"/>
  <c r="F456" i="4"/>
  <c r="F444" i="4"/>
  <c r="F432" i="4"/>
  <c r="F420" i="4"/>
  <c r="F408" i="4"/>
  <c r="F396" i="4"/>
  <c r="F384" i="4"/>
  <c r="F372" i="4"/>
  <c r="F360" i="4"/>
  <c r="F348" i="4"/>
  <c r="F336" i="4"/>
  <c r="F324" i="4"/>
  <c r="F312" i="4"/>
  <c r="F300" i="4"/>
  <c r="F288" i="4"/>
  <c r="F276" i="4"/>
  <c r="F264" i="4"/>
  <c r="F252" i="4"/>
  <c r="F240" i="4"/>
  <c r="F228" i="4"/>
  <c r="F216" i="4"/>
  <c r="F204" i="4"/>
  <c r="F192" i="4"/>
  <c r="F180" i="4"/>
  <c r="F168" i="4"/>
  <c r="F156" i="4"/>
  <c r="F144" i="4"/>
  <c r="F132" i="4"/>
  <c r="F120" i="4"/>
  <c r="F108" i="4"/>
  <c r="F96" i="4"/>
  <c r="F84" i="4"/>
  <c r="F72" i="4"/>
  <c r="F60" i="4"/>
  <c r="F48" i="4"/>
  <c r="F36" i="4"/>
  <c r="F24" i="4"/>
  <c r="F637" i="4"/>
  <c r="F445" i="4"/>
  <c r="F421" i="4"/>
  <c r="F397" i="4"/>
  <c r="F373" i="4"/>
  <c r="F349" i="4"/>
  <c r="F325" i="4"/>
  <c r="F289" i="4"/>
  <c r="F253" i="4"/>
  <c r="F217" i="4"/>
  <c r="F181" i="4"/>
  <c r="F157" i="4"/>
  <c r="F647" i="4"/>
  <c r="F635" i="4"/>
  <c r="F623" i="4"/>
  <c r="F611" i="4"/>
  <c r="F599" i="4"/>
  <c r="F587" i="4"/>
  <c r="F575" i="4"/>
  <c r="F563" i="4"/>
  <c r="F551" i="4"/>
  <c r="F539" i="4"/>
  <c r="F527" i="4"/>
  <c r="F515" i="4"/>
  <c r="F503" i="4"/>
  <c r="F491" i="4"/>
  <c r="F479" i="4"/>
  <c r="F467" i="4"/>
  <c r="F455" i="4"/>
  <c r="F443" i="4"/>
  <c r="F431" i="4"/>
  <c r="F419" i="4"/>
  <c r="F407" i="4"/>
  <c r="F395" i="4"/>
  <c r="F383" i="4"/>
  <c r="F371" i="4"/>
  <c r="F359" i="4"/>
  <c r="F347" i="4"/>
  <c r="F335" i="4"/>
  <c r="F323" i="4"/>
  <c r="F311" i="4"/>
  <c r="F299" i="4"/>
  <c r="F287" i="4"/>
  <c r="F275" i="4"/>
  <c r="F263" i="4"/>
  <c r="F251" i="4"/>
  <c r="F239" i="4"/>
  <c r="F227" i="4"/>
  <c r="F215" i="4"/>
  <c r="F203" i="4"/>
  <c r="F191" i="4"/>
  <c r="F179" i="4"/>
  <c r="F167" i="4"/>
  <c r="F155" i="4"/>
  <c r="F143" i="4"/>
  <c r="F131" i="4"/>
  <c r="F119" i="4"/>
  <c r="F107" i="4"/>
  <c r="F95" i="4"/>
  <c r="F83" i="4"/>
  <c r="F71" i="4"/>
  <c r="F59" i="4"/>
  <c r="F47" i="4"/>
  <c r="F35" i="4"/>
  <c r="F23" i="4"/>
  <c r="F625" i="4"/>
  <c r="F613" i="4"/>
  <c r="F589" i="4"/>
  <c r="F565" i="4"/>
  <c r="F541" i="4"/>
  <c r="F517" i="4"/>
  <c r="F493" i="4"/>
  <c r="F469" i="4"/>
  <c r="F433" i="4"/>
  <c r="F409" i="4"/>
  <c r="F385" i="4"/>
  <c r="F361" i="4"/>
  <c r="F337" i="4"/>
  <c r="F313" i="4"/>
  <c r="F277" i="4"/>
  <c r="F229" i="4"/>
  <c r="F205" i="4"/>
  <c r="F145" i="4"/>
  <c r="F9" i="4"/>
  <c r="F646" i="4"/>
  <c r="F634" i="4"/>
  <c r="F622" i="4"/>
  <c r="F610" i="4"/>
  <c r="F598" i="4"/>
  <c r="F586" i="4"/>
  <c r="F574" i="4"/>
  <c r="F562" i="4"/>
  <c r="F550" i="4"/>
  <c r="F538" i="4"/>
  <c r="F526" i="4"/>
  <c r="F514" i="4"/>
  <c r="F502" i="4"/>
  <c r="F490" i="4"/>
  <c r="F478" i="4"/>
  <c r="F466" i="4"/>
  <c r="F454" i="4"/>
  <c r="F442" i="4"/>
  <c r="F430" i="4"/>
  <c r="F418" i="4"/>
  <c r="F406" i="4"/>
  <c r="F394" i="4"/>
  <c r="F382" i="4"/>
  <c r="F370" i="4"/>
  <c r="F358" i="4"/>
  <c r="F346" i="4"/>
  <c r="F334" i="4"/>
  <c r="F322" i="4"/>
  <c r="F310" i="4"/>
  <c r="F298" i="4"/>
  <c r="F286" i="4"/>
  <c r="F274" i="4"/>
  <c r="F262" i="4"/>
  <c r="F250" i="4"/>
  <c r="F238" i="4"/>
  <c r="F226" i="4"/>
  <c r="F214" i="4"/>
  <c r="F202" i="4"/>
  <c r="F190" i="4"/>
  <c r="F178" i="4"/>
  <c r="F166" i="4"/>
  <c r="F154" i="4"/>
  <c r="F142" i="4"/>
  <c r="F130" i="4"/>
  <c r="F118" i="4"/>
  <c r="F106" i="4"/>
  <c r="F94" i="4"/>
  <c r="F82" i="4"/>
  <c r="F70" i="4"/>
  <c r="F58" i="4"/>
  <c r="F46" i="4"/>
  <c r="F34" i="4"/>
  <c r="F22" i="4"/>
  <c r="F14" i="4"/>
  <c r="F645" i="4"/>
  <c r="F633" i="4"/>
  <c r="F621" i="4"/>
  <c r="F609" i="4"/>
  <c r="F597" i="4"/>
  <c r="F585" i="4"/>
  <c r="F573" i="4"/>
  <c r="F561" i="4"/>
  <c r="F549" i="4"/>
  <c r="F537" i="4"/>
  <c r="F525" i="4"/>
  <c r="F513" i="4"/>
  <c r="F501" i="4"/>
  <c r="F489" i="4"/>
  <c r="F477" i="4"/>
  <c r="F465" i="4"/>
  <c r="F453" i="4"/>
  <c r="F441" i="4"/>
  <c r="F429" i="4"/>
  <c r="F417" i="4"/>
  <c r="F405" i="4"/>
  <c r="F393" i="4"/>
  <c r="F381" i="4"/>
  <c r="F369" i="4"/>
  <c r="F357" i="4"/>
  <c r="F345" i="4"/>
  <c r="F333" i="4"/>
  <c r="F321" i="4"/>
  <c r="F309" i="4"/>
  <c r="F297" i="4"/>
  <c r="F285" i="4"/>
  <c r="F273" i="4"/>
  <c r="F261" i="4"/>
  <c r="F249" i="4"/>
  <c r="F237" i="4"/>
  <c r="F225" i="4"/>
  <c r="F213" i="4"/>
  <c r="F201" i="4"/>
  <c r="F189" i="4"/>
  <c r="F177" i="4"/>
  <c r="F165" i="4"/>
  <c r="F153" i="4"/>
  <c r="F141" i="4"/>
  <c r="F129" i="4"/>
  <c r="F117" i="4"/>
  <c r="F105" i="4"/>
  <c r="F93" i="4"/>
  <c r="F81" i="4"/>
  <c r="F69" i="4"/>
  <c r="F57" i="4"/>
  <c r="F45" i="4"/>
  <c r="F33" i="4"/>
  <c r="F21" i="4"/>
  <c r="F308" i="4"/>
  <c r="F296" i="4"/>
  <c r="F284" i="4"/>
  <c r="F272" i="4"/>
  <c r="F260" i="4"/>
  <c r="F248" i="4"/>
  <c r="F236" i="4"/>
  <c r="F224" i="4"/>
  <c r="F212" i="4"/>
  <c r="F200" i="4"/>
  <c r="F188" i="4"/>
  <c r="F176" i="4"/>
  <c r="F164" i="4"/>
  <c r="F152" i="4"/>
  <c r="F140" i="4"/>
  <c r="F128" i="4"/>
  <c r="F116" i="4"/>
  <c r="F104" i="4"/>
  <c r="F92" i="4"/>
  <c r="F80" i="4"/>
  <c r="F68" i="4"/>
  <c r="F56" i="4"/>
  <c r="F44" i="4"/>
  <c r="F32" i="4"/>
  <c r="F20" i="4"/>
  <c r="F644" i="4"/>
  <c r="F596" i="4"/>
  <c r="F560" i="4"/>
  <c r="F512" i="4"/>
  <c r="F332" i="4"/>
  <c r="F12" i="4"/>
  <c r="F643" i="4"/>
  <c r="F631" i="4"/>
  <c r="F619" i="4"/>
  <c r="F607" i="4"/>
  <c r="F595" i="4"/>
  <c r="F583" i="4"/>
  <c r="F571" i="4"/>
  <c r="F559" i="4"/>
  <c r="F547" i="4"/>
  <c r="F535" i="4"/>
  <c r="F523" i="4"/>
  <c r="F511" i="4"/>
  <c r="F499" i="4"/>
  <c r="F487" i="4"/>
  <c r="F475" i="4"/>
  <c r="F463" i="4"/>
  <c r="F451" i="4"/>
  <c r="F439" i="4"/>
  <c r="F427" i="4"/>
  <c r="F415" i="4"/>
  <c r="F403" i="4"/>
  <c r="F391" i="4"/>
  <c r="F379" i="4"/>
  <c r="F367" i="4"/>
  <c r="F355" i="4"/>
  <c r="F343" i="4"/>
  <c r="F331" i="4"/>
  <c r="F319" i="4"/>
  <c r="F307" i="4"/>
  <c r="F295" i="4"/>
  <c r="F283" i="4"/>
  <c r="F271" i="4"/>
  <c r="F259" i="4"/>
  <c r="F247" i="4"/>
  <c r="F235" i="4"/>
  <c r="F223" i="4"/>
  <c r="F211" i="4"/>
  <c r="F199" i="4"/>
  <c r="F187" i="4"/>
  <c r="F175" i="4"/>
  <c r="F163" i="4"/>
  <c r="F151" i="4"/>
  <c r="F139" i="4"/>
  <c r="F127" i="4"/>
  <c r="F115" i="4"/>
  <c r="F103" i="4"/>
  <c r="F91" i="4"/>
  <c r="F79" i="4"/>
  <c r="F67" i="4"/>
  <c r="F55" i="4"/>
  <c r="F43" i="4"/>
  <c r="F31" i="4"/>
  <c r="F19" i="4"/>
  <c r="F620" i="4"/>
  <c r="F536" i="4"/>
  <c r="F488" i="4"/>
  <c r="F464" i="4"/>
  <c r="F404" i="4"/>
  <c r="F368" i="4"/>
  <c r="F344" i="4"/>
  <c r="F11" i="4"/>
  <c r="F642" i="4"/>
  <c r="F630" i="4"/>
  <c r="F618" i="4"/>
  <c r="F606" i="4"/>
  <c r="F594" i="4"/>
  <c r="F582" i="4"/>
  <c r="F570" i="4"/>
  <c r="F558" i="4"/>
  <c r="F546" i="4"/>
  <c r="F534" i="4"/>
  <c r="F522" i="4"/>
  <c r="F510" i="4"/>
  <c r="F498" i="4"/>
  <c r="F486" i="4"/>
  <c r="F474" i="4"/>
  <c r="F462" i="4"/>
  <c r="F450" i="4"/>
  <c r="F438" i="4"/>
  <c r="F426" i="4"/>
  <c r="F414" i="4"/>
  <c r="F402" i="4"/>
  <c r="F390" i="4"/>
  <c r="F378" i="4"/>
  <c r="F366" i="4"/>
  <c r="F354" i="4"/>
  <c r="F342" i="4"/>
  <c r="F330" i="4"/>
  <c r="F318" i="4"/>
  <c r="F306" i="4"/>
  <c r="F294" i="4"/>
  <c r="F282" i="4"/>
  <c r="F270" i="4"/>
  <c r="F258" i="4"/>
  <c r="F246" i="4"/>
  <c r="F234" i="4"/>
  <c r="F222" i="4"/>
  <c r="F210" i="4"/>
  <c r="F198" i="4"/>
  <c r="F186" i="4"/>
  <c r="F174" i="4"/>
  <c r="F162" i="4"/>
  <c r="F150" i="4"/>
  <c r="F138" i="4"/>
  <c r="F126" i="4"/>
  <c r="F114" i="4"/>
  <c r="F102" i="4"/>
  <c r="F90" i="4"/>
  <c r="F78" i="4"/>
  <c r="F66" i="4"/>
  <c r="F54" i="4"/>
  <c r="F42" i="4"/>
  <c r="F30" i="4"/>
  <c r="F18" i="4"/>
  <c r="F632" i="4"/>
  <c r="F572" i="4"/>
  <c r="F548" i="4"/>
  <c r="F524" i="4"/>
  <c r="F500" i="4"/>
  <c r="F476" i="4"/>
  <c r="F416" i="4"/>
  <c r="F392" i="4"/>
  <c r="F380" i="4"/>
  <c r="F356" i="4"/>
  <c r="F10" i="4"/>
  <c r="F641" i="4"/>
  <c r="F629" i="4"/>
  <c r="F617" i="4"/>
  <c r="F605" i="4"/>
  <c r="F593" i="4"/>
  <c r="F581" i="4"/>
  <c r="F569" i="4"/>
  <c r="F557" i="4"/>
  <c r="F545" i="4"/>
  <c r="F533" i="4"/>
  <c r="F521" i="4"/>
  <c r="F509" i="4"/>
  <c r="F497" i="4"/>
  <c r="F485" i="4"/>
  <c r="F473" i="4"/>
  <c r="F461" i="4"/>
  <c r="F449" i="4"/>
  <c r="F437" i="4"/>
  <c r="F425" i="4"/>
  <c r="F413" i="4"/>
  <c r="F401" i="4"/>
  <c r="F389" i="4"/>
  <c r="F377" i="4"/>
  <c r="F365" i="4"/>
  <c r="F353" i="4"/>
  <c r="F341" i="4"/>
  <c r="F329" i="4"/>
  <c r="F317" i="4"/>
  <c r="F305" i="4"/>
  <c r="F293" i="4"/>
  <c r="F281" i="4"/>
  <c r="F269" i="4"/>
  <c r="F257" i="4"/>
  <c r="F245" i="4"/>
  <c r="F233" i="4"/>
  <c r="F221" i="4"/>
  <c r="F209" i="4"/>
  <c r="F197" i="4"/>
  <c r="F185" i="4"/>
  <c r="F173" i="4"/>
  <c r="F161" i="4"/>
  <c r="F149" i="4"/>
  <c r="F137" i="4"/>
  <c r="F125" i="4"/>
  <c r="F113" i="4"/>
  <c r="F101" i="4"/>
  <c r="F89" i="4"/>
  <c r="F77" i="4"/>
  <c r="F65" i="4"/>
  <c r="F53" i="4"/>
  <c r="F41" i="4"/>
  <c r="F29" i="4"/>
  <c r="F17" i="4"/>
  <c r="F13" i="4"/>
  <c r="F584" i="4"/>
  <c r="F452" i="4"/>
  <c r="F652" i="4"/>
  <c r="F640" i="4"/>
  <c r="F628" i="4"/>
  <c r="F616" i="4"/>
  <c r="F604" i="4"/>
  <c r="F592" i="4"/>
  <c r="F580" i="4"/>
  <c r="F568" i="4"/>
  <c r="F556" i="4"/>
  <c r="F544" i="4"/>
  <c r="F532" i="4"/>
  <c r="F520" i="4"/>
  <c r="F508" i="4"/>
  <c r="F496" i="4"/>
  <c r="F484" i="4"/>
  <c r="F472" i="4"/>
  <c r="F460" i="4"/>
  <c r="F448" i="4"/>
  <c r="F436" i="4"/>
  <c r="F424" i="4"/>
  <c r="F412" i="4"/>
  <c r="F400" i="4"/>
  <c r="F388" i="4"/>
  <c r="F376" i="4"/>
  <c r="F364" i="4"/>
  <c r="F352" i="4"/>
  <c r="F340" i="4"/>
  <c r="F328" i="4"/>
  <c r="F316" i="4"/>
  <c r="F304" i="4"/>
  <c r="F292" i="4"/>
  <c r="F280" i="4"/>
  <c r="F268" i="4"/>
  <c r="F256" i="4"/>
  <c r="F244" i="4"/>
  <c r="F232" i="4"/>
  <c r="F220" i="4"/>
  <c r="F208" i="4"/>
  <c r="F196" i="4"/>
  <c r="F184" i="4"/>
  <c r="F172" i="4"/>
  <c r="F160" i="4"/>
  <c r="F148" i="4"/>
  <c r="F136" i="4"/>
  <c r="F124" i="4"/>
  <c r="F112" i="4"/>
  <c r="F100" i="4"/>
  <c r="F88" i="4"/>
  <c r="F76" i="4"/>
  <c r="F64" i="4"/>
  <c r="F52" i="4"/>
  <c r="F40" i="4"/>
  <c r="F28" i="4"/>
  <c r="F16" i="4"/>
  <c r="F608" i="4"/>
  <c r="F651" i="4"/>
  <c r="F639" i="4"/>
  <c r="F627" i="4"/>
  <c r="F615" i="4"/>
  <c r="F603" i="4"/>
  <c r="F591" i="4"/>
  <c r="F579" i="4"/>
  <c r="F567" i="4"/>
  <c r="F555" i="4"/>
  <c r="F543" i="4"/>
  <c r="F531" i="4"/>
  <c r="F519" i="4"/>
  <c r="F507" i="4"/>
  <c r="F495" i="4"/>
  <c r="F483" i="4"/>
  <c r="F471" i="4"/>
  <c r="F459" i="4"/>
  <c r="F447" i="4"/>
  <c r="F435" i="4"/>
  <c r="F423" i="4"/>
  <c r="F411" i="4"/>
  <c r="F399" i="4"/>
  <c r="F387" i="4"/>
  <c r="F375" i="4"/>
  <c r="F363" i="4"/>
  <c r="F351" i="4"/>
  <c r="F339" i="4"/>
  <c r="F327" i="4"/>
  <c r="F315" i="4"/>
  <c r="F303" i="4"/>
  <c r="F291" i="4"/>
  <c r="F279" i="4"/>
  <c r="F267" i="4"/>
  <c r="F255" i="4"/>
  <c r="F243" i="4"/>
  <c r="F231" i="4"/>
  <c r="F219" i="4"/>
  <c r="F207" i="4"/>
  <c r="F195" i="4"/>
  <c r="F183" i="4"/>
  <c r="F171" i="4"/>
  <c r="F159" i="4"/>
  <c r="F147" i="4"/>
  <c r="F135" i="4"/>
  <c r="F123" i="4"/>
  <c r="F111" i="4"/>
  <c r="F99" i="4"/>
  <c r="F87" i="4"/>
  <c r="F75" i="4"/>
  <c r="F63" i="4"/>
  <c r="F51" i="4"/>
  <c r="F39" i="4"/>
  <c r="F27" i="4"/>
</calcChain>
</file>

<file path=xl/sharedStrings.xml><?xml version="1.0" encoding="utf-8"?>
<sst xmlns="http://schemas.openxmlformats.org/spreadsheetml/2006/main" count="72" uniqueCount="28">
  <si>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</si>
  <si>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</si>
  <si>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</si>
  <si>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</si>
  <si>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</si>
  <si>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</si>
  <si>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</si>
  <si>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</si>
  <si>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</si>
  <si>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</si>
  <si>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</si>
  <si>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</si>
  <si>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</si>
  <si>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</si>
  <si>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</si>
  <si>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</si>
  <si>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</si>
  <si>
    <t>U.S. 30 yr FRM</t>
  </si>
  <si>
    <t>StartOfMonth</t>
  </si>
  <si>
    <t>Rate</t>
  </si>
  <si>
    <t>DROP TABLE IF EXISTS MortgageRate;</t>
  </si>
  <si>
    <t>CREATE TABLE MortgageRate(</t>
  </si>
  <si>
    <t>Rate REAL,</t>
  </si>
  <si>
    <t>StartOfMonth DATE,</t>
  </si>
  <si>
    <t>Primary Key (StartOfMonth)</t>
  </si>
  <si>
    <t>);</t>
  </si>
  <si>
    <t>INSERT INTO MortgageRate VALUES</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</si>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</sst>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m/d"/>
    <numFmt numFmtId="166" formatCode="General_)"/>
    <numFmt numFmtId="167" formatCode="0.0"/>
    <numFmt numFmtId="168" formatCode="yyyy\-mm\-dd"/>
  </numFmts>
  <fonts count="240"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amily val="1"/>
    </font>
    <font>
      <sz val="8"/>
      <name val="Helv"/>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246">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0" fontId="0" fillId="0" borderId="0" xfId="0" applyNumberFormat="1"/>
    <xf numFmtId="168" fontId="0" fillId="0" borderId="0" xfId="0" applyNumberForma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238"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40280" cy="794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12"/>
  <sheetViews>
    <sheetView showGridLines="0" zoomScaleNormal="100" workbookViewId="0">
      <pane ySplit="7" topLeftCell="A2796" activePane="bottomLeft" state="frozen"/>
      <selection activeCell="F71" sqref="F71"/>
      <selection pane="bottomLeft"/>
    </sheetView>
  </sheetViews>
  <sheetFormatPr defaultColWidth="9.90625" defaultRowHeight="15.6" x14ac:dyDescent="0.3"/>
  <cols>
    <col min="1" max="1" width="10.90625" style="1" customWidth="1" collapsed="1"/>
    <col min="2" max="2" width="7.90625" customWidth="1" collapsed="1"/>
    <col min="3" max="3" width="7.90625" style="8" customWidth="1" collapsed="1"/>
    <col min="4" max="4" width="7.90625" customWidth="1" collapsed="1"/>
    <col min="5" max="5" width="7.90625" style="8" customWidth="1" collapsed="1"/>
    <col min="6" max="6" width="7.90625" customWidth="1" collapsed="1"/>
    <col min="7" max="8" width="7.90625" style="8" customWidth="1" collapsed="1"/>
    <col min="9" max="9" width="7.90625" customWidth="1" collapsed="1"/>
  </cols>
  <sheetData>
    <row r="1" spans="1:17" x14ac:dyDescent="0.3">
      <c r="A1" s="2"/>
      <c r="B1" s="3"/>
      <c r="C1" s="19"/>
      <c r="D1" s="239"/>
      <c r="E1" s="239"/>
      <c r="F1" s="239"/>
      <c r="G1" s="239"/>
      <c r="H1" s="239"/>
      <c r="I1" s="239"/>
      <c r="J1" s="3"/>
    </row>
    <row r="2" spans="1:17" x14ac:dyDescent="0.3">
      <c r="A2" s="2"/>
      <c r="B2" s="3"/>
      <c r="C2" s="7"/>
      <c r="D2" s="240" t="s">
        <v>14</v>
      </c>
      <c r="E2" s="240"/>
      <c r="F2" s="240"/>
      <c r="G2" s="240"/>
      <c r="H2" s="240"/>
      <c r="I2" s="240"/>
      <c r="J2" s="3"/>
    </row>
    <row r="3" spans="1:17" x14ac:dyDescent="0.3">
      <c r="A3" s="2"/>
      <c r="C3" s="7"/>
      <c r="D3" s="241" t="s">
        <v>13</v>
      </c>
      <c r="E3" s="241"/>
      <c r="F3" s="241"/>
      <c r="G3" s="241"/>
      <c r="H3" s="241"/>
      <c r="I3" s="241"/>
      <c r="J3" s="3"/>
    </row>
    <row r="4" spans="1:17" ht="21.6" customHeight="1" thickBot="1" x14ac:dyDescent="0.35">
      <c r="A4" s="4"/>
      <c r="B4" s="5"/>
      <c r="C4" s="9"/>
      <c r="D4" s="5"/>
      <c r="E4" s="9"/>
      <c r="F4" s="5"/>
      <c r="G4" s="9"/>
      <c r="H4" s="9"/>
      <c r="I4" s="5"/>
      <c r="J4" s="3"/>
    </row>
    <row r="5" spans="1:17" s="3" customFormat="1" ht="13.2" thickTop="1" x14ac:dyDescent="0.25">
      <c r="A5" s="11"/>
      <c r="B5" s="12" t="s">
        <v>0</v>
      </c>
      <c r="C5" s="12" t="s">
        <v>1</v>
      </c>
      <c r="D5" s="12" t="s">
        <v>0</v>
      </c>
      <c r="E5" s="12" t="s">
        <v>2</v>
      </c>
      <c r="F5" s="12" t="s">
        <v>0</v>
      </c>
      <c r="G5" s="12" t="s">
        <v>12</v>
      </c>
      <c r="H5" s="16" t="s">
        <v>0</v>
      </c>
      <c r="I5" s="12" t="s">
        <v>10</v>
      </c>
    </row>
    <row r="6" spans="1:17" s="3" customFormat="1" ht="12.6" x14ac:dyDescent="0.25">
      <c r="A6" s="13"/>
      <c r="B6" s="10" t="s">
        <v>1</v>
      </c>
      <c r="C6" s="10" t="s">
        <v>4</v>
      </c>
      <c r="D6" s="10" t="s">
        <v>2</v>
      </c>
      <c r="E6" s="10" t="s">
        <v>4</v>
      </c>
      <c r="F6" s="10" t="s">
        <v>11</v>
      </c>
      <c r="G6" s="10" t="s">
        <v>4</v>
      </c>
      <c r="H6" s="17" t="s">
        <v>12</v>
      </c>
      <c r="I6" s="10" t="s">
        <v>12</v>
      </c>
    </row>
    <row r="7" spans="1:17" s="3" customFormat="1" ht="12.75" customHeight="1" thickBot="1" x14ac:dyDescent="0.3">
      <c r="A7" s="14" t="s">
        <v>5</v>
      </c>
      <c r="B7" s="15" t="s">
        <v>6</v>
      </c>
      <c r="C7" s="15" t="s">
        <v>7</v>
      </c>
      <c r="D7" s="15" t="s">
        <v>6</v>
      </c>
      <c r="E7" s="15" t="s">
        <v>7</v>
      </c>
      <c r="F7" s="15" t="s">
        <v>3</v>
      </c>
      <c r="G7" s="15" t="s">
        <v>7</v>
      </c>
      <c r="H7" s="18" t="s">
        <v>9</v>
      </c>
      <c r="I7" s="15" t="s">
        <v>8</v>
      </c>
    </row>
    <row r="8" spans="1:17" s="6" customFormat="1" ht="16.2" thickTop="1" x14ac:dyDescent="0.35">
      <c r="A8" s="20">
        <v>26025</v>
      </c>
      <c r="B8" s="21">
        <v>7.33</v>
      </c>
      <c r="C8" s="21"/>
      <c r="D8" s="21"/>
      <c r="E8" s="22"/>
      <c r="F8" s="21"/>
      <c r="G8" s="22"/>
      <c r="H8" s="22"/>
      <c r="I8" s="21"/>
      <c r="J8" s="24"/>
      <c r="K8" s="24"/>
      <c r="L8" s="24"/>
      <c r="M8" s="24"/>
      <c r="N8" s="24"/>
      <c r="O8" s="24"/>
      <c r="P8" s="24"/>
      <c r="Q8" s="24"/>
    </row>
    <row r="9" spans="1:17" s="6" customFormat="1" x14ac:dyDescent="0.35">
      <c r="A9" s="20">
        <v>26032</v>
      </c>
      <c r="B9" s="21">
        <v>7.31</v>
      </c>
      <c r="C9" s="21" t="s">
        <v>15</v>
      </c>
      <c r="D9" s="21"/>
      <c r="E9" s="21"/>
      <c r="F9" s="21"/>
      <c r="G9" s="21"/>
      <c r="H9" s="21"/>
      <c r="I9" s="21"/>
      <c r="J9" s="24"/>
      <c r="K9" s="24"/>
      <c r="L9" s="24"/>
      <c r="M9" s="24"/>
      <c r="N9" s="24"/>
      <c r="O9" s="24"/>
      <c r="P9" s="24"/>
      <c r="Q9" s="24"/>
    </row>
    <row r="10" spans="1:17" s="6" customFormat="1" x14ac:dyDescent="0.35">
      <c r="A10" s="20">
        <v>26039</v>
      </c>
      <c r="B10" s="21">
        <v>7.31</v>
      </c>
      <c r="C10" s="21" t="s">
        <v>15</v>
      </c>
      <c r="D10" s="21"/>
      <c r="E10" s="21"/>
      <c r="F10" s="21"/>
      <c r="G10" s="21"/>
      <c r="H10" s="21"/>
      <c r="I10" s="21"/>
      <c r="J10" s="24"/>
      <c r="K10" s="24"/>
      <c r="L10" s="24"/>
      <c r="M10" s="24"/>
      <c r="N10" s="24"/>
      <c r="O10" s="24"/>
      <c r="P10" s="24"/>
      <c r="Q10" s="24"/>
    </row>
    <row r="11" spans="1:17" s="6" customFormat="1" x14ac:dyDescent="0.35">
      <c r="A11" s="20">
        <v>26046</v>
      </c>
      <c r="B11" s="21">
        <v>7.31</v>
      </c>
      <c r="C11" s="21" t="s">
        <v>15</v>
      </c>
      <c r="D11" s="21"/>
      <c r="E11" s="21"/>
      <c r="F11" s="21"/>
      <c r="G11" s="21"/>
      <c r="H11" s="21"/>
      <c r="I11" s="21"/>
      <c r="J11" s="24"/>
      <c r="K11" s="24"/>
      <c r="L11" s="24"/>
      <c r="M11" s="24"/>
      <c r="N11" s="24"/>
      <c r="O11" s="24"/>
      <c r="P11" s="24"/>
      <c r="Q11" s="24"/>
    </row>
    <row r="12" spans="1:17" s="6" customFormat="1" x14ac:dyDescent="0.35">
      <c r="A12" s="20">
        <v>26053</v>
      </c>
      <c r="B12" s="21">
        <v>7.29</v>
      </c>
      <c r="C12" s="21" t="s">
        <v>15</v>
      </c>
      <c r="D12" s="21"/>
      <c r="E12" s="21"/>
      <c r="F12" s="21"/>
      <c r="G12" s="21"/>
      <c r="H12" s="21"/>
      <c r="I12" s="21"/>
      <c r="J12" s="24"/>
      <c r="K12" s="24"/>
      <c r="L12" s="24"/>
      <c r="M12" s="24"/>
      <c r="N12" s="24"/>
      <c r="O12" s="24"/>
      <c r="P12" s="24"/>
      <c r="Q12" s="24"/>
    </row>
    <row r="13" spans="1:17" s="6" customFormat="1" x14ac:dyDescent="0.35">
      <c r="A13" s="20">
        <v>26060</v>
      </c>
      <c r="B13" s="21">
        <v>7.38</v>
      </c>
      <c r="C13" s="21" t="s">
        <v>15</v>
      </c>
      <c r="D13" s="21"/>
      <c r="E13" s="21"/>
      <c r="F13" s="21"/>
      <c r="G13" s="21"/>
      <c r="H13" s="21"/>
      <c r="I13" s="21"/>
      <c r="J13" s="24"/>
      <c r="K13" s="24"/>
      <c r="L13" s="24"/>
      <c r="M13" s="24"/>
      <c r="N13" s="24"/>
      <c r="O13" s="24"/>
      <c r="P13" s="24"/>
      <c r="Q13" s="24"/>
    </row>
    <row r="14" spans="1:17" s="6" customFormat="1" x14ac:dyDescent="0.35">
      <c r="A14" s="20">
        <v>26067</v>
      </c>
      <c r="B14" s="21">
        <v>7.42</v>
      </c>
      <c r="C14" s="21" t="s">
        <v>15</v>
      </c>
      <c r="D14" s="21"/>
      <c r="E14" s="21"/>
      <c r="F14" s="21"/>
      <c r="G14" s="21"/>
      <c r="H14" s="21"/>
      <c r="I14" s="21"/>
      <c r="J14" s="24"/>
      <c r="K14" s="24"/>
      <c r="L14" s="24"/>
      <c r="M14" s="24"/>
      <c r="N14" s="24"/>
      <c r="O14" s="24"/>
      <c r="P14" s="24"/>
      <c r="Q14" s="24"/>
    </row>
    <row r="15" spans="1:17" s="6" customFormat="1" x14ac:dyDescent="0.35">
      <c r="A15" s="20">
        <v>26074</v>
      </c>
      <c r="B15" s="21">
        <v>7.44</v>
      </c>
      <c r="C15" s="21" t="s">
        <v>15</v>
      </c>
      <c r="D15" s="21"/>
      <c r="E15" s="21"/>
      <c r="F15" s="21"/>
      <c r="G15" s="21"/>
      <c r="H15" s="21"/>
      <c r="I15" s="21"/>
      <c r="J15" s="24"/>
      <c r="K15" s="24"/>
      <c r="L15" s="24"/>
      <c r="M15" s="24"/>
      <c r="N15" s="24"/>
      <c r="O15" s="24"/>
      <c r="P15" s="24"/>
      <c r="Q15" s="24"/>
    </row>
    <row r="16" spans="1:17" s="6" customFormat="1" x14ac:dyDescent="0.35">
      <c r="A16" s="20">
        <v>26081</v>
      </c>
      <c r="B16" s="21">
        <v>7.46</v>
      </c>
      <c r="C16" s="21">
        <v>1</v>
      </c>
      <c r="D16" s="21"/>
      <c r="E16" s="21"/>
      <c r="F16" s="21"/>
      <c r="G16" s="21"/>
      <c r="H16" s="21"/>
      <c r="I16" s="21"/>
      <c r="J16" s="24"/>
      <c r="K16" s="24"/>
      <c r="L16" s="24"/>
      <c r="M16" s="24"/>
      <c r="N16" s="24"/>
      <c r="O16" s="24"/>
      <c r="P16" s="24"/>
      <c r="Q16" s="24"/>
    </row>
    <row r="17" spans="1:17" s="6" customFormat="1" x14ac:dyDescent="0.35">
      <c r="A17" s="20">
        <v>26088</v>
      </c>
      <c r="B17" s="21">
        <v>7.52</v>
      </c>
      <c r="C17" s="21" t="s">
        <v>15</v>
      </c>
      <c r="D17" s="21"/>
      <c r="E17" s="21"/>
      <c r="F17" s="21"/>
      <c r="G17" s="21"/>
      <c r="H17" s="21"/>
      <c r="I17" s="21"/>
      <c r="J17" s="24"/>
      <c r="K17" s="24"/>
      <c r="L17" s="24"/>
      <c r="M17" s="24"/>
      <c r="N17" s="24"/>
      <c r="O17" s="24"/>
      <c r="P17" s="24"/>
      <c r="Q17" s="24"/>
    </row>
    <row r="18" spans="1:17" s="6" customFormat="1" x14ac:dyDescent="0.35">
      <c r="A18" s="20">
        <v>26095</v>
      </c>
      <c r="B18" s="21">
        <v>7.52</v>
      </c>
      <c r="C18" s="21" t="s">
        <v>15</v>
      </c>
      <c r="D18" s="21"/>
      <c r="E18" s="21"/>
      <c r="F18" s="21"/>
      <c r="G18" s="21"/>
      <c r="H18" s="21"/>
      <c r="I18" s="21"/>
      <c r="J18" s="24"/>
      <c r="K18" s="24"/>
      <c r="L18" s="24"/>
      <c r="M18" s="24"/>
      <c r="N18" s="24"/>
      <c r="O18" s="24"/>
      <c r="P18" s="24"/>
      <c r="Q18" s="24"/>
    </row>
    <row r="19" spans="1:17" s="6" customFormat="1" x14ac:dyDescent="0.35">
      <c r="A19" s="20">
        <v>26102</v>
      </c>
      <c r="B19" s="21">
        <v>7.54</v>
      </c>
      <c r="C19" s="21">
        <v>1.2</v>
      </c>
      <c r="D19" s="21"/>
      <c r="E19" s="21"/>
      <c r="F19" s="21"/>
      <c r="G19" s="21"/>
      <c r="H19" s="21"/>
      <c r="I19" s="21"/>
      <c r="J19" s="24"/>
      <c r="K19" s="24"/>
      <c r="L19" s="24"/>
      <c r="M19" s="24"/>
      <c r="N19" s="24"/>
      <c r="O19" s="24"/>
      <c r="P19" s="24"/>
      <c r="Q19" s="24"/>
    </row>
    <row r="20" spans="1:17" s="6" customFormat="1" x14ac:dyDescent="0.35">
      <c r="A20" s="20">
        <v>26109</v>
      </c>
      <c r="B20" s="21">
        <v>7.54</v>
      </c>
      <c r="C20" s="21" t="s">
        <v>15</v>
      </c>
      <c r="D20" s="21"/>
      <c r="E20" s="21"/>
      <c r="F20" s="21"/>
      <c r="G20" s="21"/>
      <c r="H20" s="21"/>
      <c r="I20" s="21"/>
      <c r="J20" s="24"/>
      <c r="K20" s="24"/>
      <c r="L20" s="24"/>
      <c r="M20" s="24"/>
      <c r="N20" s="24"/>
      <c r="O20" s="24"/>
      <c r="P20" s="24"/>
      <c r="Q20" s="24"/>
    </row>
    <row r="21" spans="1:17" s="6" customFormat="1" x14ac:dyDescent="0.35">
      <c r="A21" s="20">
        <v>26116</v>
      </c>
      <c r="B21" s="21">
        <v>7.54</v>
      </c>
      <c r="C21" s="21" t="s">
        <v>15</v>
      </c>
      <c r="D21" s="21"/>
      <c r="E21" s="21"/>
      <c r="F21" s="21"/>
      <c r="G21" s="21"/>
      <c r="H21" s="21"/>
      <c r="I21" s="21"/>
      <c r="J21" s="24"/>
      <c r="K21" s="24"/>
      <c r="L21" s="24"/>
      <c r="M21" s="24"/>
      <c r="N21" s="24"/>
      <c r="O21" s="24"/>
      <c r="P21" s="24"/>
      <c r="Q21" s="24"/>
    </row>
    <row r="22" spans="1:17" s="6" customFormat="1" x14ac:dyDescent="0.35">
      <c r="A22" s="20">
        <v>26123</v>
      </c>
      <c r="B22" s="21">
        <v>7.54</v>
      </c>
      <c r="C22" s="21" t="s">
        <v>15</v>
      </c>
      <c r="D22" s="21"/>
      <c r="E22" s="21"/>
      <c r="F22" s="21"/>
      <c r="G22" s="21"/>
      <c r="H22" s="21"/>
      <c r="I22" s="21"/>
      <c r="J22" s="24"/>
      <c r="K22" s="24"/>
      <c r="L22" s="24"/>
      <c r="M22" s="24"/>
      <c r="N22" s="24"/>
      <c r="O22" s="24"/>
      <c r="P22" s="24"/>
      <c r="Q22" s="24"/>
    </row>
    <row r="23" spans="1:17" s="6" customFormat="1" x14ac:dyDescent="0.35">
      <c r="A23" s="20">
        <v>26130</v>
      </c>
      <c r="B23" s="21">
        <v>7.6</v>
      </c>
      <c r="C23" s="21">
        <v>1.2</v>
      </c>
      <c r="D23" s="21"/>
      <c r="E23" s="21"/>
      <c r="F23" s="21"/>
      <c r="G23" s="21"/>
      <c r="H23" s="21"/>
      <c r="I23" s="21"/>
      <c r="J23" s="24"/>
      <c r="K23" s="24"/>
      <c r="L23" s="24"/>
      <c r="M23" s="24"/>
      <c r="N23" s="24"/>
      <c r="O23" s="24"/>
      <c r="P23" s="24"/>
      <c r="Q23" s="24"/>
    </row>
    <row r="24" spans="1:17" s="6" customFormat="1" x14ac:dyDescent="0.35">
      <c r="A24" s="20">
        <v>26137</v>
      </c>
      <c r="B24" s="21">
        <v>7.65</v>
      </c>
      <c r="C24" s="21" t="s">
        <v>15</v>
      </c>
      <c r="D24" s="21"/>
      <c r="E24" s="21"/>
      <c r="F24" s="21"/>
      <c r="G24" s="21"/>
      <c r="H24" s="21"/>
      <c r="I24" s="21"/>
      <c r="J24" s="24"/>
      <c r="K24" s="24"/>
      <c r="L24" s="24"/>
      <c r="M24" s="24"/>
      <c r="N24" s="24"/>
      <c r="O24" s="24"/>
      <c r="P24" s="24"/>
      <c r="Q24" s="24"/>
    </row>
    <row r="25" spans="1:17" s="6" customFormat="1" x14ac:dyDescent="0.35">
      <c r="A25" s="20">
        <v>26144</v>
      </c>
      <c r="B25" s="21">
        <v>7.69</v>
      </c>
      <c r="C25" s="21" t="s">
        <v>15</v>
      </c>
      <c r="D25" s="21"/>
      <c r="E25" s="21"/>
      <c r="F25" s="21"/>
      <c r="G25" s="21"/>
      <c r="H25" s="21"/>
      <c r="I25" s="21"/>
      <c r="J25" s="24"/>
      <c r="K25" s="24"/>
      <c r="L25" s="24"/>
      <c r="M25" s="24"/>
      <c r="N25" s="24"/>
      <c r="O25" s="24"/>
      <c r="P25" s="24"/>
      <c r="Q25" s="24"/>
    </row>
    <row r="26" spans="1:17" s="6" customFormat="1" x14ac:dyDescent="0.35">
      <c r="A26" s="20">
        <v>26151</v>
      </c>
      <c r="B26" s="21">
        <v>7.66</v>
      </c>
      <c r="C26" s="21" t="s">
        <v>15</v>
      </c>
      <c r="D26" s="21"/>
      <c r="E26" s="21"/>
      <c r="F26" s="21"/>
      <c r="G26" s="21"/>
      <c r="H26" s="21"/>
      <c r="I26" s="21"/>
      <c r="J26" s="24"/>
      <c r="K26" s="24"/>
      <c r="L26" s="24"/>
      <c r="M26" s="24"/>
      <c r="N26" s="24"/>
      <c r="O26" s="24"/>
      <c r="P26" s="24"/>
      <c r="Q26" s="24"/>
    </row>
    <row r="27" spans="1:17" s="6" customFormat="1" x14ac:dyDescent="0.35">
      <c r="A27" s="20">
        <v>26158</v>
      </c>
      <c r="B27" s="21">
        <v>7.73</v>
      </c>
      <c r="C27" s="21" t="s">
        <v>15</v>
      </c>
      <c r="D27" s="21"/>
      <c r="E27" s="21"/>
      <c r="F27" s="21"/>
      <c r="G27" s="21"/>
      <c r="H27" s="21"/>
      <c r="I27" s="21"/>
      <c r="J27" s="24"/>
      <c r="K27" s="24"/>
      <c r="L27" s="24"/>
      <c r="M27" s="24"/>
      <c r="N27" s="24"/>
      <c r="O27" s="24"/>
      <c r="P27" s="24"/>
      <c r="Q27" s="24"/>
    </row>
    <row r="28" spans="1:17" s="6" customFormat="1" x14ac:dyDescent="0.35">
      <c r="A28" s="20">
        <v>26165</v>
      </c>
      <c r="B28" s="21">
        <v>7.71</v>
      </c>
      <c r="C28" s="21">
        <v>1.3</v>
      </c>
      <c r="D28" s="21"/>
      <c r="E28" s="21"/>
      <c r="F28" s="21"/>
      <c r="G28" s="21"/>
      <c r="H28" s="21"/>
      <c r="I28" s="21"/>
      <c r="J28" s="24"/>
      <c r="K28" s="24"/>
      <c r="L28" s="24"/>
      <c r="M28" s="24"/>
      <c r="N28" s="24"/>
      <c r="O28" s="24"/>
      <c r="P28" s="24"/>
      <c r="Q28" s="24"/>
    </row>
    <row r="29" spans="1:17" s="6" customFormat="1" x14ac:dyDescent="0.35">
      <c r="A29" s="20">
        <v>26172</v>
      </c>
      <c r="B29" s="21">
        <v>7.69</v>
      </c>
      <c r="C29" s="21" t="s">
        <v>15</v>
      </c>
      <c r="D29" s="21"/>
      <c r="E29" s="21"/>
      <c r="F29" s="21"/>
      <c r="G29" s="21"/>
      <c r="H29" s="21"/>
      <c r="I29" s="21"/>
      <c r="J29" s="24"/>
      <c r="K29" s="24"/>
      <c r="L29" s="24"/>
      <c r="M29" s="24"/>
      <c r="N29" s="24"/>
      <c r="O29" s="24"/>
      <c r="P29" s="24"/>
      <c r="Q29" s="24"/>
    </row>
    <row r="30" spans="1:17" s="6" customFormat="1" x14ac:dyDescent="0.35">
      <c r="A30" s="20">
        <v>26179</v>
      </c>
      <c r="B30" s="21">
        <v>7.71</v>
      </c>
      <c r="C30" s="21" t="s">
        <v>15</v>
      </c>
      <c r="D30" s="21"/>
      <c r="E30" s="21"/>
      <c r="F30" s="21"/>
      <c r="G30" s="21"/>
      <c r="H30" s="21"/>
      <c r="I30" s="21"/>
      <c r="J30" s="24"/>
      <c r="K30" s="24"/>
      <c r="L30" s="24"/>
      <c r="M30" s="24"/>
      <c r="N30" s="24"/>
      <c r="O30" s="24"/>
      <c r="P30" s="24"/>
      <c r="Q30" s="24"/>
    </row>
    <row r="31" spans="1:17" s="6" customFormat="1" x14ac:dyDescent="0.35">
      <c r="A31" s="20">
        <v>26186</v>
      </c>
      <c r="B31" s="21">
        <v>7.67</v>
      </c>
      <c r="C31" s="21" t="s">
        <v>15</v>
      </c>
      <c r="D31" s="21"/>
      <c r="E31" s="21"/>
      <c r="F31" s="21"/>
      <c r="G31" s="21"/>
      <c r="H31" s="21"/>
      <c r="I31" s="21"/>
      <c r="J31" s="24"/>
      <c r="K31" s="24"/>
      <c r="L31" s="24"/>
      <c r="M31" s="24"/>
      <c r="N31" s="24"/>
      <c r="O31" s="24"/>
      <c r="P31" s="24"/>
      <c r="Q31" s="24"/>
    </row>
    <row r="32" spans="1:17" s="6" customFormat="1" x14ac:dyDescent="0.35">
      <c r="A32" s="20">
        <v>26193</v>
      </c>
      <c r="B32" s="21">
        <v>7.7</v>
      </c>
      <c r="C32" s="21">
        <v>1.1000000000000001</v>
      </c>
      <c r="D32" s="21"/>
      <c r="E32" s="21"/>
      <c r="F32" s="21"/>
      <c r="G32" s="21"/>
      <c r="H32" s="21"/>
      <c r="I32" s="21"/>
      <c r="J32" s="24"/>
      <c r="K32" s="24"/>
      <c r="L32" s="24"/>
      <c r="M32" s="24"/>
      <c r="N32" s="24"/>
      <c r="O32" s="24"/>
      <c r="P32" s="24"/>
      <c r="Q32" s="24"/>
    </row>
    <row r="33" spans="1:17" s="6" customFormat="1" x14ac:dyDescent="0.35">
      <c r="A33" s="20">
        <v>26200</v>
      </c>
      <c r="B33" s="21">
        <v>7.67</v>
      </c>
      <c r="C33" s="21" t="s">
        <v>15</v>
      </c>
      <c r="D33" s="21"/>
      <c r="E33" s="21"/>
      <c r="F33" s="21"/>
      <c r="G33" s="21"/>
      <c r="H33" s="21"/>
      <c r="I33" s="21"/>
      <c r="J33" s="24"/>
      <c r="K33" s="24"/>
      <c r="L33" s="24"/>
      <c r="M33" s="24"/>
      <c r="N33" s="24"/>
      <c r="O33" s="24"/>
      <c r="P33" s="24"/>
      <c r="Q33" s="24"/>
    </row>
    <row r="34" spans="1:17" s="6" customFormat="1" x14ac:dyDescent="0.35">
      <c r="A34" s="20">
        <v>26207</v>
      </c>
      <c r="B34" s="21">
        <v>7.67</v>
      </c>
      <c r="C34" s="21" t="s">
        <v>15</v>
      </c>
      <c r="D34" s="21"/>
      <c r="E34" s="21"/>
      <c r="F34" s="21"/>
      <c r="G34" s="21"/>
      <c r="H34" s="21"/>
      <c r="I34" s="21"/>
      <c r="J34" s="24"/>
      <c r="K34" s="24"/>
      <c r="L34" s="24"/>
      <c r="M34" s="24"/>
      <c r="N34" s="24"/>
      <c r="O34" s="24"/>
      <c r="P34" s="24"/>
      <c r="Q34" s="24"/>
    </row>
    <row r="35" spans="1:17" s="6" customFormat="1" x14ac:dyDescent="0.35">
      <c r="A35" s="20">
        <v>26214</v>
      </c>
      <c r="B35" s="21">
        <v>7.63</v>
      </c>
      <c r="C35" s="21" t="s">
        <v>15</v>
      </c>
      <c r="D35" s="21"/>
      <c r="E35" s="21"/>
      <c r="F35" s="21"/>
      <c r="G35" s="21"/>
      <c r="H35" s="21"/>
      <c r="I35" s="21"/>
      <c r="J35" s="24"/>
      <c r="K35" s="24"/>
      <c r="L35" s="24"/>
      <c r="M35" s="24"/>
      <c r="N35" s="24"/>
      <c r="O35" s="24"/>
      <c r="P35" s="24"/>
      <c r="Q35" s="24"/>
    </row>
    <row r="36" spans="1:17" s="6" customFormat="1" x14ac:dyDescent="0.35">
      <c r="A36" s="20">
        <v>26221</v>
      </c>
      <c r="B36" s="21">
        <v>7.63</v>
      </c>
      <c r="C36" s="21" t="s">
        <v>15</v>
      </c>
      <c r="D36" s="21"/>
      <c r="E36" s="21"/>
      <c r="F36" s="21"/>
      <c r="G36" s="21"/>
      <c r="H36" s="21"/>
      <c r="I36" s="21"/>
      <c r="J36" s="24"/>
      <c r="K36" s="24"/>
      <c r="L36" s="24"/>
      <c r="M36" s="24"/>
      <c r="N36" s="24"/>
      <c r="O36" s="24"/>
      <c r="P36" s="24"/>
      <c r="Q36" s="24"/>
    </row>
    <row r="37" spans="1:17" s="6" customFormat="1" x14ac:dyDescent="0.35">
      <c r="A37" s="20">
        <v>26228</v>
      </c>
      <c r="B37" s="21">
        <v>7.58</v>
      </c>
      <c r="C37" s="21">
        <v>1.1000000000000001</v>
      </c>
      <c r="D37" s="21"/>
      <c r="E37" s="21"/>
      <c r="F37" s="21"/>
      <c r="G37" s="21"/>
      <c r="H37" s="21"/>
      <c r="I37" s="21"/>
      <c r="J37" s="24"/>
      <c r="K37" s="24"/>
      <c r="L37" s="24"/>
      <c r="M37" s="24"/>
      <c r="N37" s="24"/>
      <c r="O37" s="24"/>
      <c r="P37" s="24"/>
      <c r="Q37" s="24"/>
    </row>
    <row r="38" spans="1:17" s="6" customFormat="1" x14ac:dyDescent="0.35">
      <c r="A38" s="20">
        <v>26235</v>
      </c>
      <c r="B38" s="21">
        <v>7.63</v>
      </c>
      <c r="C38" s="21" t="s">
        <v>15</v>
      </c>
      <c r="D38" s="21"/>
      <c r="E38" s="21"/>
      <c r="F38" s="21"/>
      <c r="G38" s="21"/>
      <c r="H38" s="21"/>
      <c r="I38" s="21"/>
      <c r="J38" s="24"/>
      <c r="K38" s="24"/>
      <c r="L38" s="24"/>
      <c r="M38" s="24"/>
      <c r="N38" s="24"/>
      <c r="O38" s="24"/>
      <c r="P38" s="24"/>
      <c r="Q38" s="24"/>
    </row>
    <row r="39" spans="1:17" s="6" customFormat="1" x14ac:dyDescent="0.35">
      <c r="A39" s="20">
        <v>26242</v>
      </c>
      <c r="B39" s="21">
        <v>7.59</v>
      </c>
      <c r="C39" s="21" t="s">
        <v>15</v>
      </c>
      <c r="D39" s="21"/>
      <c r="E39" s="21"/>
      <c r="F39" s="21"/>
      <c r="G39" s="21"/>
      <c r="H39" s="21"/>
      <c r="I39" s="21"/>
      <c r="J39" s="24"/>
      <c r="K39" s="24"/>
      <c r="L39" s="24"/>
      <c r="M39" s="24"/>
      <c r="N39" s="24"/>
      <c r="O39" s="24"/>
      <c r="P39" s="24"/>
      <c r="Q39" s="24"/>
    </row>
    <row r="40" spans="1:17" s="6" customFormat="1" x14ac:dyDescent="0.35">
      <c r="A40" s="20">
        <v>26249</v>
      </c>
      <c r="B40" s="21">
        <v>7.56</v>
      </c>
      <c r="C40" s="21" t="s">
        <v>15</v>
      </c>
      <c r="D40" s="21"/>
      <c r="E40" s="21"/>
      <c r="F40" s="21"/>
      <c r="G40" s="21"/>
      <c r="H40" s="21"/>
      <c r="I40" s="21"/>
      <c r="J40" s="24"/>
      <c r="K40" s="24"/>
      <c r="L40" s="24"/>
      <c r="M40" s="24"/>
      <c r="N40" s="24"/>
      <c r="O40" s="24"/>
      <c r="P40" s="24"/>
      <c r="Q40" s="24"/>
    </row>
    <row r="41" spans="1:17" s="6" customFormat="1" x14ac:dyDescent="0.35">
      <c r="A41" s="20">
        <v>26256</v>
      </c>
      <c r="B41" s="21">
        <v>7.54</v>
      </c>
      <c r="C41" s="21">
        <v>1</v>
      </c>
      <c r="D41" s="21"/>
      <c r="E41" s="21"/>
      <c r="F41" s="21"/>
      <c r="G41" s="21"/>
      <c r="H41" s="21"/>
      <c r="I41" s="21"/>
      <c r="J41" s="24"/>
      <c r="K41" s="24"/>
      <c r="L41" s="24"/>
      <c r="M41" s="24"/>
      <c r="N41" s="24"/>
      <c r="O41" s="24"/>
      <c r="P41" s="24"/>
      <c r="Q41" s="24"/>
    </row>
    <row r="42" spans="1:17" s="6" customFormat="1" x14ac:dyDescent="0.35">
      <c r="A42" s="20">
        <v>26263</v>
      </c>
      <c r="B42" s="21">
        <v>7.51</v>
      </c>
      <c r="C42" s="21" t="s">
        <v>15</v>
      </c>
      <c r="D42" s="21"/>
      <c r="E42" s="21"/>
      <c r="F42" s="21"/>
      <c r="G42" s="21"/>
      <c r="H42" s="21"/>
      <c r="I42" s="21"/>
      <c r="J42" s="24"/>
      <c r="K42" s="24"/>
      <c r="L42" s="24"/>
      <c r="M42" s="24"/>
      <c r="N42" s="24"/>
      <c r="O42" s="24"/>
      <c r="P42" s="24"/>
      <c r="Q42" s="24"/>
    </row>
    <row r="43" spans="1:17" s="6" customFormat="1" x14ac:dyDescent="0.35">
      <c r="A43" s="20">
        <v>26270</v>
      </c>
      <c r="B43" s="21">
        <v>7.49</v>
      </c>
      <c r="C43" s="21" t="s">
        <v>15</v>
      </c>
      <c r="D43" s="21"/>
      <c r="E43" s="21"/>
      <c r="F43" s="21"/>
      <c r="G43" s="21"/>
      <c r="H43" s="21"/>
      <c r="I43" s="21"/>
      <c r="J43" s="24"/>
      <c r="K43" s="24"/>
      <c r="L43" s="24"/>
      <c r="M43" s="24"/>
      <c r="N43" s="24"/>
      <c r="O43" s="24"/>
      <c r="P43" s="24"/>
      <c r="Q43" s="24"/>
    </row>
    <row r="44" spans="1:17" s="6" customFormat="1" x14ac:dyDescent="0.35">
      <c r="A44" s="20">
        <v>26277</v>
      </c>
      <c r="B44" s="21">
        <v>7.47</v>
      </c>
      <c r="C44" s="21" t="s">
        <v>15</v>
      </c>
      <c r="D44" s="21"/>
      <c r="E44" s="21"/>
      <c r="F44" s="21"/>
      <c r="G44" s="21"/>
      <c r="H44" s="21"/>
      <c r="I44" s="21"/>
      <c r="J44" s="24"/>
      <c r="K44" s="24"/>
      <c r="L44" s="24"/>
      <c r="M44" s="24"/>
      <c r="N44" s="24"/>
      <c r="O44" s="24"/>
      <c r="P44" s="24"/>
      <c r="Q44" s="24"/>
    </row>
    <row r="45" spans="1:17" s="6" customFormat="1" x14ac:dyDescent="0.35">
      <c r="A45" s="20">
        <v>26284</v>
      </c>
      <c r="B45" s="21">
        <v>7.48</v>
      </c>
      <c r="C45" s="21" t="s">
        <v>15</v>
      </c>
      <c r="D45" s="21"/>
      <c r="E45" s="21"/>
      <c r="F45" s="21"/>
      <c r="G45" s="21"/>
      <c r="H45" s="21"/>
      <c r="I45" s="21"/>
      <c r="J45" s="24"/>
      <c r="K45" s="24"/>
      <c r="L45" s="24"/>
      <c r="M45" s="24"/>
      <c r="N45" s="24"/>
      <c r="O45" s="24"/>
      <c r="P45" s="24"/>
      <c r="Q45" s="24"/>
    </row>
    <row r="46" spans="1:17" s="6" customFormat="1" x14ac:dyDescent="0.35">
      <c r="A46" s="20">
        <v>26291</v>
      </c>
      <c r="B46" s="21">
        <v>7.48</v>
      </c>
      <c r="C46" s="21" t="s">
        <v>15</v>
      </c>
      <c r="D46" s="21"/>
      <c r="E46" s="21"/>
      <c r="F46" s="21"/>
      <c r="G46" s="21"/>
      <c r="H46" s="21"/>
      <c r="I46" s="21"/>
      <c r="J46" s="24"/>
      <c r="K46" s="24"/>
      <c r="L46" s="24"/>
      <c r="M46" s="24"/>
      <c r="N46" s="24"/>
      <c r="O46" s="24"/>
      <c r="P46" s="24"/>
      <c r="Q46" s="24"/>
    </row>
    <row r="47" spans="1:17" s="6" customFormat="1" x14ac:dyDescent="0.35">
      <c r="A47" s="20">
        <v>26298</v>
      </c>
      <c r="B47" s="21">
        <v>7.48</v>
      </c>
      <c r="C47" s="21">
        <v>1</v>
      </c>
      <c r="D47" s="21"/>
      <c r="E47" s="21"/>
      <c r="F47" s="21"/>
      <c r="G47" s="21"/>
      <c r="H47" s="21"/>
      <c r="I47" s="21"/>
      <c r="J47" s="24"/>
      <c r="K47" s="24"/>
      <c r="L47" s="24"/>
      <c r="M47" s="24"/>
      <c r="N47" s="24"/>
      <c r="O47" s="24"/>
      <c r="P47" s="24"/>
      <c r="Q47" s="24"/>
    </row>
    <row r="48" spans="1:17" s="6" customFormat="1" x14ac:dyDescent="0.35">
      <c r="A48" s="20">
        <v>26305</v>
      </c>
      <c r="B48" s="21">
        <v>7.46</v>
      </c>
      <c r="C48" s="21">
        <v>1</v>
      </c>
      <c r="D48" s="21"/>
      <c r="E48" s="21"/>
      <c r="F48" s="21"/>
      <c r="G48" s="21"/>
      <c r="H48" s="21"/>
      <c r="I48" s="21"/>
      <c r="J48" s="24"/>
      <c r="K48" s="24"/>
      <c r="L48" s="24"/>
      <c r="M48" s="24"/>
      <c r="N48" s="24"/>
      <c r="O48" s="24"/>
      <c r="P48" s="24"/>
      <c r="Q48" s="24"/>
    </row>
    <row r="49" spans="1:17" s="6" customFormat="1" x14ac:dyDescent="0.35">
      <c r="A49" s="20">
        <v>26312</v>
      </c>
      <c r="B49" s="21">
        <v>7.46</v>
      </c>
      <c r="C49" s="21">
        <v>0.9</v>
      </c>
      <c r="D49" s="21"/>
      <c r="E49" s="21"/>
      <c r="F49" s="21"/>
      <c r="G49" s="21"/>
      <c r="H49" s="21"/>
      <c r="I49" s="21"/>
      <c r="J49" s="24"/>
      <c r="K49" s="24"/>
      <c r="L49" s="24"/>
      <c r="M49" s="24"/>
      <c r="N49" s="24"/>
      <c r="O49" s="24"/>
      <c r="P49" s="24"/>
      <c r="Q49" s="24"/>
    </row>
    <row r="50" spans="1:17" s="6" customFormat="1" x14ac:dyDescent="0.35">
      <c r="A50" s="20">
        <v>26319</v>
      </c>
      <c r="B50" s="21">
        <v>7.43</v>
      </c>
      <c r="C50" s="21">
        <v>1</v>
      </c>
      <c r="D50" s="21"/>
      <c r="E50" s="21"/>
      <c r="F50" s="21"/>
      <c r="G50" s="21"/>
      <c r="H50" s="21"/>
      <c r="I50" s="21"/>
      <c r="J50" s="24"/>
      <c r="K50" s="24"/>
      <c r="L50" s="24"/>
      <c r="M50" s="24"/>
      <c r="N50" s="24"/>
      <c r="O50" s="24"/>
      <c r="P50" s="24"/>
      <c r="Q50" s="24"/>
    </row>
    <row r="51" spans="1:17" s="6" customFormat="1" x14ac:dyDescent="0.35">
      <c r="A51" s="20">
        <v>26326</v>
      </c>
      <c r="B51" s="21">
        <v>7.4</v>
      </c>
      <c r="C51" s="21">
        <v>0.9</v>
      </c>
      <c r="D51" s="21"/>
      <c r="E51" s="21"/>
      <c r="F51" s="21"/>
      <c r="G51" s="21"/>
      <c r="H51" s="21"/>
      <c r="I51" s="21"/>
      <c r="J51" s="24"/>
      <c r="K51" s="24"/>
      <c r="L51" s="24"/>
      <c r="M51" s="24"/>
      <c r="N51" s="24"/>
      <c r="O51" s="24"/>
      <c r="P51" s="24"/>
      <c r="Q51" s="24"/>
    </row>
    <row r="52" spans="1:17" s="6" customFormat="1" x14ac:dyDescent="0.35">
      <c r="A52" s="20">
        <v>26333</v>
      </c>
      <c r="B52" s="21">
        <v>7.35</v>
      </c>
      <c r="C52" s="21">
        <v>0.9</v>
      </c>
      <c r="D52" s="21"/>
      <c r="E52" s="21"/>
      <c r="F52" s="21"/>
      <c r="G52" s="21"/>
      <c r="H52" s="21"/>
      <c r="I52" s="21"/>
      <c r="J52" s="24"/>
      <c r="K52" s="24"/>
      <c r="L52" s="24"/>
      <c r="M52" s="24"/>
      <c r="N52" s="24"/>
      <c r="O52" s="24"/>
      <c r="P52" s="24"/>
      <c r="Q52" s="24"/>
    </row>
    <row r="53" spans="1:17" s="6" customFormat="1" x14ac:dyDescent="0.35">
      <c r="A53" s="20">
        <v>26340</v>
      </c>
      <c r="B53" s="21">
        <v>7.33</v>
      </c>
      <c r="C53" s="21">
        <v>0.9</v>
      </c>
      <c r="D53" s="21"/>
      <c r="E53" s="21"/>
      <c r="F53" s="21"/>
      <c r="G53" s="21"/>
      <c r="H53" s="21"/>
      <c r="I53" s="21"/>
      <c r="J53" s="24"/>
      <c r="K53" s="24"/>
      <c r="L53" s="24"/>
      <c r="M53" s="24"/>
      <c r="N53" s="24"/>
      <c r="O53" s="24"/>
      <c r="P53" s="24"/>
      <c r="Q53" s="24"/>
    </row>
    <row r="54" spans="1:17" s="6" customFormat="1" x14ac:dyDescent="0.35">
      <c r="A54" s="20">
        <v>26347</v>
      </c>
      <c r="B54" s="21">
        <v>7.31</v>
      </c>
      <c r="C54" s="21">
        <v>0.9</v>
      </c>
      <c r="D54" s="21"/>
      <c r="E54" s="21"/>
      <c r="F54" s="21"/>
      <c r="G54" s="21"/>
      <c r="H54" s="21"/>
      <c r="I54" s="21"/>
      <c r="J54" s="24"/>
      <c r="K54" s="24"/>
      <c r="L54" s="24"/>
      <c r="M54" s="24"/>
      <c r="N54" s="24"/>
      <c r="O54" s="24"/>
      <c r="P54" s="24"/>
      <c r="Q54" s="24"/>
    </row>
    <row r="55" spans="1:17" s="6" customFormat="1" x14ac:dyDescent="0.35">
      <c r="A55" s="20">
        <v>26354</v>
      </c>
      <c r="B55" s="21">
        <v>7.31</v>
      </c>
      <c r="C55" s="21">
        <v>0.9</v>
      </c>
      <c r="D55" s="21"/>
      <c r="E55" s="21"/>
      <c r="F55" s="21"/>
      <c r="G55" s="21"/>
      <c r="H55" s="21"/>
      <c r="I55" s="21"/>
      <c r="J55" s="24"/>
      <c r="K55" s="24"/>
      <c r="L55" s="24"/>
      <c r="M55" s="24"/>
      <c r="N55" s="24"/>
      <c r="O55" s="24"/>
      <c r="P55" s="24"/>
      <c r="Q55" s="24"/>
    </row>
    <row r="56" spans="1:17" s="6" customFormat="1" x14ac:dyDescent="0.35">
      <c r="A56" s="20">
        <v>26361</v>
      </c>
      <c r="B56" s="21">
        <v>7.32</v>
      </c>
      <c r="C56" s="21">
        <v>0.9</v>
      </c>
      <c r="D56" s="21"/>
      <c r="E56" s="21"/>
      <c r="F56" s="21"/>
      <c r="G56" s="21"/>
      <c r="H56" s="21"/>
      <c r="I56" s="21"/>
      <c r="J56" s="24"/>
      <c r="K56" s="24"/>
      <c r="L56" s="24"/>
      <c r="M56" s="24"/>
      <c r="N56" s="24"/>
      <c r="O56" s="24"/>
      <c r="P56" s="24"/>
      <c r="Q56" s="24"/>
    </row>
    <row r="57" spans="1:17" s="6" customFormat="1" x14ac:dyDescent="0.35">
      <c r="A57" s="20">
        <v>26368</v>
      </c>
      <c r="B57" s="21">
        <v>7.32</v>
      </c>
      <c r="C57" s="21">
        <v>1</v>
      </c>
      <c r="D57" s="21"/>
      <c r="E57" s="21"/>
      <c r="F57" s="21"/>
      <c r="G57" s="21"/>
      <c r="H57" s="21"/>
      <c r="I57" s="21"/>
      <c r="J57" s="24"/>
      <c r="K57" s="24"/>
      <c r="L57" s="24"/>
      <c r="M57" s="24"/>
      <c r="N57" s="24"/>
      <c r="O57" s="24"/>
      <c r="P57" s="24"/>
      <c r="Q57" s="24"/>
    </row>
    <row r="58" spans="1:17" s="6" customFormat="1" x14ac:dyDescent="0.35">
      <c r="A58" s="20">
        <v>26375</v>
      </c>
      <c r="B58" s="21">
        <v>7.31</v>
      </c>
      <c r="C58" s="21">
        <v>0.9</v>
      </c>
      <c r="D58" s="21"/>
      <c r="E58" s="21"/>
      <c r="F58" s="21"/>
      <c r="G58" s="21"/>
      <c r="H58" s="21"/>
      <c r="I58" s="21"/>
      <c r="J58" s="24"/>
      <c r="K58" s="24"/>
      <c r="L58" s="24"/>
      <c r="M58" s="24"/>
      <c r="N58" s="24"/>
      <c r="O58" s="24"/>
      <c r="P58" s="24"/>
      <c r="Q58" s="24"/>
    </row>
    <row r="59" spans="1:17" s="6" customFormat="1" x14ac:dyDescent="0.35">
      <c r="A59" s="20">
        <v>26382</v>
      </c>
      <c r="B59" s="21">
        <v>7.31</v>
      </c>
      <c r="C59" s="21">
        <v>0.9</v>
      </c>
      <c r="D59" s="21"/>
      <c r="E59" s="21"/>
      <c r="F59" s="21"/>
      <c r="G59" s="21"/>
      <c r="H59" s="21"/>
      <c r="I59" s="21"/>
      <c r="J59" s="24"/>
      <c r="K59" s="24"/>
      <c r="L59" s="24"/>
      <c r="M59" s="24"/>
      <c r="N59" s="24"/>
      <c r="O59" s="24"/>
      <c r="P59" s="24"/>
      <c r="Q59" s="24"/>
    </row>
    <row r="60" spans="1:17" s="6" customFormat="1" x14ac:dyDescent="0.35">
      <c r="A60" s="20">
        <v>26389</v>
      </c>
      <c r="B60" s="21">
        <v>7.23</v>
      </c>
      <c r="C60" s="21">
        <v>0.9</v>
      </c>
      <c r="D60" s="21"/>
      <c r="E60" s="21"/>
      <c r="F60" s="21"/>
      <c r="G60" s="21"/>
      <c r="H60" s="21"/>
      <c r="I60" s="21"/>
      <c r="J60" s="24"/>
      <c r="K60" s="24"/>
      <c r="L60" s="24"/>
      <c r="M60" s="24"/>
      <c r="N60" s="24"/>
      <c r="O60" s="24"/>
      <c r="P60" s="24"/>
      <c r="Q60" s="24"/>
    </row>
    <row r="61" spans="1:17" s="6" customFormat="1" x14ac:dyDescent="0.35">
      <c r="A61" s="20">
        <v>26396</v>
      </c>
      <c r="B61" s="21">
        <v>7.25</v>
      </c>
      <c r="C61" s="21">
        <v>0.9</v>
      </c>
      <c r="D61" s="21"/>
      <c r="E61" s="21"/>
      <c r="F61" s="21"/>
      <c r="G61" s="21"/>
      <c r="H61" s="21"/>
      <c r="I61" s="21"/>
      <c r="J61" s="24"/>
      <c r="K61" s="24"/>
      <c r="L61" s="24"/>
      <c r="M61" s="24"/>
      <c r="N61" s="24"/>
      <c r="O61" s="24"/>
      <c r="P61" s="24"/>
      <c r="Q61" s="24"/>
    </row>
    <row r="62" spans="1:17" s="6" customFormat="1" x14ac:dyDescent="0.35">
      <c r="A62" s="20">
        <v>26403</v>
      </c>
      <c r="B62" s="21">
        <v>7.29</v>
      </c>
      <c r="C62" s="21">
        <v>0.9</v>
      </c>
      <c r="D62" s="21"/>
      <c r="E62" s="21"/>
      <c r="F62" s="21"/>
      <c r="G62" s="21"/>
      <c r="H62" s="21"/>
      <c r="I62" s="21"/>
      <c r="J62" s="24"/>
      <c r="K62" s="24"/>
      <c r="L62" s="24"/>
      <c r="M62" s="24"/>
      <c r="N62" s="24"/>
      <c r="O62" s="24"/>
      <c r="P62" s="24"/>
      <c r="Q62" s="24"/>
    </row>
    <row r="63" spans="1:17" s="6" customFormat="1" x14ac:dyDescent="0.35">
      <c r="A63" s="20">
        <v>26410</v>
      </c>
      <c r="B63" s="21">
        <v>7.29</v>
      </c>
      <c r="C63" s="21">
        <v>0.9</v>
      </c>
      <c r="D63" s="21"/>
      <c r="E63" s="21"/>
      <c r="F63" s="21"/>
      <c r="G63" s="21"/>
      <c r="H63" s="21"/>
      <c r="I63" s="21"/>
      <c r="J63" s="24"/>
      <c r="K63" s="24"/>
      <c r="L63" s="24"/>
      <c r="M63" s="24"/>
      <c r="N63" s="24"/>
      <c r="O63" s="24"/>
      <c r="P63" s="24"/>
      <c r="Q63" s="24"/>
    </row>
    <row r="64" spans="1:17" s="6" customFormat="1" x14ac:dyDescent="0.35">
      <c r="A64" s="20">
        <v>26417</v>
      </c>
      <c r="B64" s="21">
        <v>7.33</v>
      </c>
      <c r="C64" s="21">
        <v>1</v>
      </c>
      <c r="D64" s="21"/>
      <c r="E64" s="21"/>
      <c r="F64" s="21"/>
      <c r="G64" s="21"/>
      <c r="H64" s="21"/>
      <c r="I64" s="21"/>
      <c r="J64" s="24"/>
      <c r="K64" s="24"/>
      <c r="L64" s="24"/>
      <c r="M64" s="24"/>
      <c r="N64" s="24"/>
      <c r="O64" s="24"/>
      <c r="P64" s="24"/>
      <c r="Q64" s="24"/>
    </row>
    <row r="65" spans="1:17" s="6" customFormat="1" x14ac:dyDescent="0.35">
      <c r="A65" s="20">
        <v>26424</v>
      </c>
      <c r="B65" s="21">
        <v>7.33</v>
      </c>
      <c r="C65" s="21">
        <v>0.8</v>
      </c>
      <c r="D65" s="21"/>
      <c r="E65" s="21"/>
      <c r="F65" s="21"/>
      <c r="G65" s="21"/>
      <c r="H65" s="21"/>
      <c r="I65" s="21"/>
      <c r="J65" s="24"/>
      <c r="K65" s="24"/>
      <c r="L65" s="24"/>
      <c r="M65" s="24"/>
      <c r="N65" s="24"/>
      <c r="O65" s="24"/>
      <c r="P65" s="24"/>
      <c r="Q65" s="24"/>
    </row>
    <row r="66" spans="1:17" s="6" customFormat="1" x14ac:dyDescent="0.35">
      <c r="A66" s="20">
        <v>26431</v>
      </c>
      <c r="B66" s="21">
        <v>7.38</v>
      </c>
      <c r="C66" s="21">
        <v>0.9</v>
      </c>
      <c r="D66" s="21"/>
      <c r="E66" s="21"/>
      <c r="F66" s="21"/>
      <c r="G66" s="21"/>
      <c r="H66" s="21"/>
      <c r="I66" s="21"/>
      <c r="J66" s="24"/>
      <c r="K66" s="24"/>
      <c r="L66" s="24"/>
      <c r="M66" s="24"/>
      <c r="N66" s="24"/>
      <c r="O66" s="24"/>
      <c r="P66" s="24"/>
      <c r="Q66" s="24"/>
    </row>
    <row r="67" spans="1:17" s="6" customFormat="1" x14ac:dyDescent="0.35">
      <c r="A67" s="20">
        <v>26438</v>
      </c>
      <c r="B67" s="21">
        <v>7.38</v>
      </c>
      <c r="C67" s="21">
        <v>0.9</v>
      </c>
      <c r="D67" s="21"/>
      <c r="E67" s="21"/>
      <c r="F67" s="21"/>
      <c r="G67" s="21"/>
      <c r="H67" s="21"/>
      <c r="I67" s="21"/>
      <c r="J67" s="24"/>
      <c r="K67" s="24"/>
      <c r="L67" s="24"/>
      <c r="M67" s="24"/>
      <c r="N67" s="24"/>
      <c r="O67" s="24"/>
      <c r="P67" s="24"/>
      <c r="Q67" s="24"/>
    </row>
    <row r="68" spans="1:17" s="6" customFormat="1" x14ac:dyDescent="0.35">
      <c r="A68" s="20">
        <v>26445</v>
      </c>
      <c r="B68" s="21">
        <v>7.4</v>
      </c>
      <c r="C68" s="21">
        <v>0.9</v>
      </c>
      <c r="D68" s="21"/>
      <c r="E68" s="21"/>
      <c r="F68" s="21"/>
      <c r="G68" s="21"/>
      <c r="H68" s="21"/>
      <c r="I68" s="21"/>
      <c r="J68" s="24"/>
      <c r="K68" s="24"/>
      <c r="L68" s="24"/>
      <c r="M68" s="24"/>
      <c r="N68" s="24"/>
      <c r="O68" s="24"/>
      <c r="P68" s="24"/>
      <c r="Q68" s="24"/>
    </row>
    <row r="69" spans="1:17" s="6" customFormat="1" x14ac:dyDescent="0.35">
      <c r="A69" s="20">
        <v>26452</v>
      </c>
      <c r="B69" s="21">
        <v>7.36</v>
      </c>
      <c r="C69" s="21">
        <v>1</v>
      </c>
      <c r="D69" s="21"/>
      <c r="E69" s="21"/>
      <c r="F69" s="21"/>
      <c r="G69" s="21"/>
      <c r="H69" s="21"/>
      <c r="I69" s="21"/>
      <c r="J69" s="24"/>
      <c r="K69" s="24"/>
      <c r="L69" s="24"/>
      <c r="M69" s="24"/>
      <c r="N69" s="24"/>
      <c r="O69" s="24"/>
      <c r="P69" s="24"/>
      <c r="Q69" s="24"/>
    </row>
    <row r="70" spans="1:17" s="6" customFormat="1" x14ac:dyDescent="0.35">
      <c r="A70" s="20">
        <v>26459</v>
      </c>
      <c r="B70" s="21">
        <v>7.38</v>
      </c>
      <c r="C70" s="21">
        <v>1</v>
      </c>
      <c r="D70" s="21"/>
      <c r="E70" s="21"/>
      <c r="F70" s="21"/>
      <c r="G70" s="21"/>
      <c r="H70" s="21"/>
      <c r="I70" s="21"/>
      <c r="J70" s="24"/>
      <c r="K70" s="24"/>
      <c r="L70" s="24"/>
      <c r="M70" s="24"/>
      <c r="N70" s="24"/>
      <c r="O70" s="24"/>
      <c r="P70" s="24"/>
      <c r="Q70" s="24"/>
    </row>
    <row r="71" spans="1:17" s="6" customFormat="1" x14ac:dyDescent="0.35">
      <c r="A71" s="20">
        <v>26466</v>
      </c>
      <c r="B71" s="21">
        <v>7.38</v>
      </c>
      <c r="C71" s="21">
        <v>0.9</v>
      </c>
      <c r="D71" s="21"/>
      <c r="E71" s="21"/>
      <c r="F71" s="21"/>
      <c r="G71" s="21"/>
      <c r="H71" s="21"/>
      <c r="I71" s="21"/>
      <c r="J71" s="24"/>
      <c r="K71" s="24"/>
      <c r="L71" s="24"/>
      <c r="M71" s="24"/>
      <c r="N71" s="24"/>
      <c r="O71" s="24"/>
      <c r="P71" s="24"/>
      <c r="Q71" s="24"/>
    </row>
    <row r="72" spans="1:17" s="6" customFormat="1" x14ac:dyDescent="0.35">
      <c r="A72" s="20">
        <v>26473</v>
      </c>
      <c r="B72" s="21">
        <v>7.36</v>
      </c>
      <c r="C72" s="21">
        <v>0.9</v>
      </c>
      <c r="D72" s="21"/>
      <c r="E72" s="21"/>
      <c r="F72" s="21"/>
      <c r="G72" s="21"/>
      <c r="H72" s="21"/>
      <c r="I72" s="21"/>
      <c r="J72" s="24"/>
      <c r="K72" s="24"/>
      <c r="L72" s="24"/>
      <c r="M72" s="24"/>
      <c r="N72" s="24"/>
      <c r="O72" s="24"/>
      <c r="P72" s="24"/>
      <c r="Q72" s="24"/>
    </row>
    <row r="73" spans="1:17" s="6" customFormat="1" x14ac:dyDescent="0.35">
      <c r="A73" s="20">
        <v>26480</v>
      </c>
      <c r="B73" s="21">
        <v>7.38</v>
      </c>
      <c r="C73" s="21">
        <v>0.8</v>
      </c>
      <c r="D73" s="21"/>
      <c r="E73" s="21"/>
      <c r="F73" s="21"/>
      <c r="G73" s="21"/>
      <c r="H73" s="21"/>
      <c r="I73" s="21"/>
      <c r="J73" s="24"/>
      <c r="K73" s="24"/>
      <c r="L73" s="24"/>
      <c r="M73" s="24"/>
      <c r="N73" s="24"/>
      <c r="O73" s="24"/>
      <c r="P73" s="24"/>
      <c r="Q73" s="24"/>
    </row>
    <row r="74" spans="1:17" s="6" customFormat="1" x14ac:dyDescent="0.35">
      <c r="A74" s="20">
        <v>26487</v>
      </c>
      <c r="B74" s="21">
        <v>7.38</v>
      </c>
      <c r="C74" s="21">
        <v>0.9</v>
      </c>
      <c r="D74" s="21"/>
      <c r="E74" s="21"/>
      <c r="F74" s="21"/>
      <c r="G74" s="21"/>
      <c r="H74" s="21"/>
      <c r="I74" s="21"/>
      <c r="J74" s="24"/>
      <c r="K74" s="24"/>
      <c r="L74" s="24"/>
      <c r="M74" s="24"/>
      <c r="N74" s="24"/>
      <c r="O74" s="24"/>
      <c r="P74" s="24"/>
      <c r="Q74" s="24"/>
    </row>
    <row r="75" spans="1:17" s="6" customFormat="1" x14ac:dyDescent="0.35">
      <c r="A75" s="20">
        <v>26494</v>
      </c>
      <c r="B75" s="21">
        <v>7.4</v>
      </c>
      <c r="C75" s="21">
        <v>0.9</v>
      </c>
      <c r="D75" s="21"/>
      <c r="E75" s="21"/>
      <c r="F75" s="21"/>
      <c r="G75" s="21"/>
      <c r="H75" s="21"/>
      <c r="I75" s="21"/>
      <c r="J75" s="24"/>
      <c r="K75" s="24"/>
      <c r="L75" s="24"/>
      <c r="M75" s="24"/>
      <c r="N75" s="24"/>
      <c r="O75" s="24"/>
      <c r="P75" s="24"/>
      <c r="Q75" s="24"/>
    </row>
    <row r="76" spans="1:17" s="6" customFormat="1" x14ac:dyDescent="0.35">
      <c r="A76" s="20">
        <v>26501</v>
      </c>
      <c r="B76" s="21">
        <v>7.4</v>
      </c>
      <c r="C76" s="21">
        <v>0.9</v>
      </c>
      <c r="D76" s="21"/>
      <c r="E76" s="21"/>
      <c r="F76" s="21"/>
      <c r="G76" s="21"/>
      <c r="H76" s="21"/>
      <c r="I76" s="21"/>
      <c r="J76" s="24"/>
      <c r="K76" s="24"/>
      <c r="L76" s="24"/>
      <c r="M76" s="24"/>
      <c r="N76" s="24"/>
      <c r="O76" s="24"/>
      <c r="P76" s="24"/>
      <c r="Q76" s="24"/>
    </row>
    <row r="77" spans="1:17" s="6" customFormat="1" x14ac:dyDescent="0.35">
      <c r="A77" s="20">
        <v>26508</v>
      </c>
      <c r="B77" s="21">
        <v>7.4</v>
      </c>
      <c r="C77" s="21">
        <v>1</v>
      </c>
      <c r="D77" s="21"/>
      <c r="E77" s="21"/>
      <c r="F77" s="21"/>
      <c r="G77" s="21"/>
      <c r="H77" s="21"/>
      <c r="I77" s="21"/>
      <c r="J77" s="24"/>
      <c r="K77" s="24"/>
      <c r="L77" s="24"/>
      <c r="M77" s="24"/>
      <c r="N77" s="24"/>
      <c r="O77" s="24"/>
      <c r="P77" s="24"/>
      <c r="Q77" s="24"/>
    </row>
    <row r="78" spans="1:17" s="6" customFormat="1" x14ac:dyDescent="0.35">
      <c r="A78" s="20">
        <v>26515</v>
      </c>
      <c r="B78" s="21">
        <v>7.35</v>
      </c>
      <c r="C78" s="21">
        <v>0.9</v>
      </c>
      <c r="D78" s="21"/>
      <c r="E78" s="21"/>
      <c r="F78" s="21"/>
      <c r="G78" s="21"/>
      <c r="H78" s="21"/>
      <c r="I78" s="21"/>
      <c r="J78" s="24"/>
      <c r="K78" s="24"/>
      <c r="L78" s="24"/>
      <c r="M78" s="24"/>
      <c r="N78" s="24"/>
      <c r="O78" s="24"/>
      <c r="P78" s="24"/>
      <c r="Q78" s="24"/>
    </row>
    <row r="79" spans="1:17" s="6" customFormat="1" x14ac:dyDescent="0.35">
      <c r="A79" s="20">
        <v>26522</v>
      </c>
      <c r="B79" s="21">
        <v>7.41</v>
      </c>
      <c r="C79" s="21">
        <v>0.9</v>
      </c>
      <c r="D79" s="21"/>
      <c r="E79" s="21"/>
      <c r="F79" s="21"/>
      <c r="G79" s="21"/>
      <c r="H79" s="21"/>
      <c r="I79" s="21"/>
      <c r="J79" s="24"/>
      <c r="K79" s="24"/>
      <c r="L79" s="24"/>
      <c r="M79" s="24"/>
      <c r="N79" s="24"/>
      <c r="O79" s="24"/>
      <c r="P79" s="24"/>
      <c r="Q79" s="24"/>
    </row>
    <row r="80" spans="1:17" s="6" customFormat="1" x14ac:dyDescent="0.35">
      <c r="A80" s="20">
        <v>26529</v>
      </c>
      <c r="B80" s="21">
        <v>7.42</v>
      </c>
      <c r="C80" s="21">
        <v>0.9</v>
      </c>
      <c r="D80" s="21"/>
      <c r="E80" s="21"/>
      <c r="F80" s="21"/>
      <c r="G80" s="21"/>
      <c r="H80" s="21"/>
      <c r="I80" s="21"/>
      <c r="J80" s="24"/>
      <c r="K80" s="24"/>
      <c r="L80" s="24"/>
      <c r="M80" s="24"/>
      <c r="N80" s="24"/>
      <c r="O80" s="24"/>
      <c r="P80" s="24"/>
      <c r="Q80" s="24"/>
    </row>
    <row r="81" spans="1:17" s="6" customFormat="1" x14ac:dyDescent="0.35">
      <c r="A81" s="20">
        <v>26536</v>
      </c>
      <c r="B81" s="21">
        <v>7.42</v>
      </c>
      <c r="C81" s="21">
        <v>0.9</v>
      </c>
      <c r="D81" s="21"/>
      <c r="E81" s="21"/>
      <c r="F81" s="21"/>
      <c r="G81" s="21"/>
      <c r="H81" s="21"/>
      <c r="I81" s="21"/>
      <c r="J81" s="24"/>
      <c r="K81" s="24"/>
      <c r="L81" s="24"/>
      <c r="M81" s="24"/>
      <c r="N81" s="24"/>
      <c r="O81" s="24"/>
      <c r="P81" s="24"/>
      <c r="Q81" s="24"/>
    </row>
    <row r="82" spans="1:17" s="6" customFormat="1" x14ac:dyDescent="0.35">
      <c r="A82" s="20">
        <v>26543</v>
      </c>
      <c r="B82" s="21">
        <v>7.42</v>
      </c>
      <c r="C82" s="21">
        <v>1</v>
      </c>
      <c r="D82" s="21"/>
      <c r="E82" s="21"/>
      <c r="F82" s="21"/>
      <c r="G82" s="21"/>
      <c r="H82" s="21"/>
      <c r="I82" s="21"/>
      <c r="J82" s="24"/>
      <c r="K82" s="24"/>
      <c r="L82" s="24"/>
      <c r="M82" s="24"/>
      <c r="N82" s="24"/>
      <c r="O82" s="24"/>
      <c r="P82" s="24"/>
      <c r="Q82" s="24"/>
    </row>
    <row r="83" spans="1:17" s="6" customFormat="1" x14ac:dyDescent="0.35">
      <c r="A83" s="20">
        <v>26550</v>
      </c>
      <c r="B83" s="21">
        <v>7.42</v>
      </c>
      <c r="C83" s="21">
        <v>0.9</v>
      </c>
      <c r="D83" s="21"/>
      <c r="E83" s="21"/>
      <c r="F83" s="21"/>
      <c r="G83" s="21"/>
      <c r="H83" s="21"/>
      <c r="I83" s="21"/>
      <c r="J83" s="24"/>
      <c r="K83" s="24"/>
      <c r="L83" s="24"/>
      <c r="M83" s="24"/>
      <c r="N83" s="24"/>
      <c r="O83" s="24"/>
      <c r="P83" s="24"/>
      <c r="Q83" s="24"/>
    </row>
    <row r="84" spans="1:17" s="6" customFormat="1" x14ac:dyDescent="0.35">
      <c r="A84" s="20">
        <v>26557</v>
      </c>
      <c r="B84" s="21">
        <v>7.42</v>
      </c>
      <c r="C84" s="21">
        <v>0.9</v>
      </c>
      <c r="D84" s="21"/>
      <c r="E84" s="21"/>
      <c r="F84" s="21"/>
      <c r="G84" s="21"/>
      <c r="H84" s="21"/>
      <c r="I84" s="21"/>
      <c r="J84" s="24"/>
      <c r="K84" s="24"/>
      <c r="L84" s="24"/>
      <c r="M84" s="24"/>
      <c r="N84" s="24"/>
      <c r="O84" s="24"/>
      <c r="P84" s="24"/>
      <c r="Q84" s="24"/>
    </row>
    <row r="85" spans="1:17" s="6" customFormat="1" x14ac:dyDescent="0.35">
      <c r="A85" s="20">
        <v>26564</v>
      </c>
      <c r="B85" s="21">
        <v>7.41</v>
      </c>
      <c r="C85" s="21">
        <v>1</v>
      </c>
      <c r="D85" s="21"/>
      <c r="E85" s="21"/>
      <c r="F85" s="21"/>
      <c r="G85" s="21"/>
      <c r="H85" s="21"/>
      <c r="I85" s="21"/>
      <c r="J85" s="24"/>
      <c r="K85" s="24"/>
      <c r="L85" s="24"/>
      <c r="M85" s="24"/>
      <c r="N85" s="24"/>
      <c r="O85" s="24"/>
      <c r="P85" s="24"/>
      <c r="Q85" s="24"/>
    </row>
    <row r="86" spans="1:17" s="6" customFormat="1" x14ac:dyDescent="0.35">
      <c r="A86" s="20">
        <v>26571</v>
      </c>
      <c r="B86" s="21">
        <v>7.43</v>
      </c>
      <c r="C86" s="21">
        <v>1</v>
      </c>
      <c r="D86" s="21"/>
      <c r="E86" s="21"/>
      <c r="F86" s="21"/>
      <c r="G86" s="21"/>
      <c r="H86" s="21"/>
      <c r="I86" s="21"/>
      <c r="J86" s="24"/>
      <c r="K86" s="24"/>
      <c r="L86" s="24"/>
      <c r="M86" s="24"/>
      <c r="N86" s="24"/>
      <c r="O86" s="24"/>
      <c r="P86" s="24"/>
      <c r="Q86" s="24"/>
    </row>
    <row r="87" spans="1:17" s="6" customFormat="1" x14ac:dyDescent="0.35">
      <c r="A87" s="20">
        <v>26578</v>
      </c>
      <c r="B87" s="21">
        <v>7.41</v>
      </c>
      <c r="C87" s="21">
        <v>0.9</v>
      </c>
      <c r="D87" s="21"/>
      <c r="E87" s="21"/>
      <c r="F87" s="21"/>
      <c r="G87" s="21"/>
      <c r="H87" s="21"/>
      <c r="I87" s="21"/>
      <c r="J87" s="24"/>
      <c r="K87" s="24"/>
      <c r="L87" s="24"/>
      <c r="M87" s="24"/>
      <c r="N87" s="24"/>
      <c r="O87" s="24"/>
      <c r="P87" s="24"/>
      <c r="Q87" s="24"/>
    </row>
    <row r="88" spans="1:17" s="6" customFormat="1" x14ac:dyDescent="0.35">
      <c r="A88" s="20">
        <v>26585</v>
      </c>
      <c r="B88" s="21">
        <v>7.41</v>
      </c>
      <c r="C88" s="21">
        <v>0.9</v>
      </c>
      <c r="D88" s="21"/>
      <c r="E88" s="21"/>
      <c r="F88" s="21"/>
      <c r="G88" s="21"/>
      <c r="H88" s="21"/>
      <c r="I88" s="21"/>
      <c r="J88" s="24"/>
      <c r="K88" s="24"/>
      <c r="L88" s="24"/>
      <c r="M88" s="24"/>
      <c r="N88" s="24"/>
      <c r="O88" s="24"/>
      <c r="P88" s="24"/>
      <c r="Q88" s="24"/>
    </row>
    <row r="89" spans="1:17" s="6" customFormat="1" x14ac:dyDescent="0.35">
      <c r="A89" s="20">
        <v>26592</v>
      </c>
      <c r="B89" s="21">
        <v>7.44</v>
      </c>
      <c r="C89" s="21">
        <v>1</v>
      </c>
      <c r="D89" s="21"/>
      <c r="E89" s="21"/>
      <c r="F89" s="21"/>
      <c r="G89" s="21"/>
      <c r="H89" s="21"/>
      <c r="I89" s="21"/>
      <c r="J89" s="24"/>
      <c r="K89" s="24"/>
      <c r="L89" s="24"/>
      <c r="M89" s="24"/>
      <c r="N89" s="24"/>
      <c r="O89" s="24"/>
      <c r="P89" s="24"/>
      <c r="Q89" s="24"/>
    </row>
    <row r="90" spans="1:17" s="6" customFormat="1" x14ac:dyDescent="0.35">
      <c r="A90" s="20">
        <v>26599</v>
      </c>
      <c r="B90" s="21">
        <v>7.42</v>
      </c>
      <c r="C90" s="21">
        <v>1</v>
      </c>
      <c r="D90" s="21"/>
      <c r="E90" s="21"/>
      <c r="F90" s="21"/>
      <c r="G90" s="21"/>
      <c r="H90" s="21"/>
      <c r="I90" s="21"/>
      <c r="J90" s="24"/>
      <c r="K90" s="24"/>
      <c r="L90" s="24"/>
      <c r="M90" s="24"/>
      <c r="N90" s="24"/>
      <c r="O90" s="24"/>
      <c r="P90" s="24"/>
      <c r="Q90" s="24"/>
    </row>
    <row r="91" spans="1:17" s="6" customFormat="1" x14ac:dyDescent="0.35">
      <c r="A91" s="20">
        <v>26606</v>
      </c>
      <c r="B91" s="21">
        <v>7.43</v>
      </c>
      <c r="C91" s="21">
        <v>1</v>
      </c>
      <c r="D91" s="21"/>
      <c r="E91" s="21"/>
      <c r="F91" s="21"/>
      <c r="G91" s="21"/>
      <c r="H91" s="21"/>
      <c r="I91" s="21"/>
      <c r="J91" s="24"/>
      <c r="K91" s="24"/>
      <c r="L91" s="24"/>
      <c r="M91" s="24"/>
      <c r="N91" s="24"/>
      <c r="O91" s="24"/>
      <c r="P91" s="24"/>
      <c r="Q91" s="24"/>
    </row>
    <row r="92" spans="1:17" s="6" customFormat="1" x14ac:dyDescent="0.35">
      <c r="A92" s="20">
        <v>26613</v>
      </c>
      <c r="B92" s="21">
        <v>7.42</v>
      </c>
      <c r="C92" s="21">
        <v>1</v>
      </c>
      <c r="D92" s="21"/>
      <c r="E92" s="21"/>
      <c r="F92" s="21"/>
      <c r="G92" s="21"/>
      <c r="H92" s="21"/>
      <c r="I92" s="21"/>
      <c r="J92" s="24"/>
      <c r="K92" s="24"/>
      <c r="L92" s="24"/>
      <c r="M92" s="24"/>
      <c r="N92" s="24"/>
      <c r="O92" s="24"/>
      <c r="P92" s="24"/>
      <c r="Q92" s="24"/>
    </row>
    <row r="93" spans="1:17" s="6" customFormat="1" x14ac:dyDescent="0.35">
      <c r="A93" s="20">
        <v>26620</v>
      </c>
      <c r="B93" s="21">
        <v>7.42</v>
      </c>
      <c r="C93" s="21">
        <v>1</v>
      </c>
      <c r="D93" s="21"/>
      <c r="E93" s="21"/>
      <c r="F93" s="21"/>
      <c r="G93" s="21"/>
      <c r="H93" s="21"/>
      <c r="I93" s="21"/>
      <c r="J93" s="24"/>
      <c r="K93" s="24"/>
      <c r="L93" s="24"/>
      <c r="M93" s="24"/>
      <c r="N93" s="24"/>
      <c r="O93" s="24"/>
      <c r="P93" s="24"/>
      <c r="Q93" s="24"/>
    </row>
    <row r="94" spans="1:17" ht="16.2" x14ac:dyDescent="0.35">
      <c r="A94" s="20">
        <v>26627</v>
      </c>
      <c r="B94" s="21">
        <v>7.44</v>
      </c>
      <c r="C94" s="21">
        <v>0.9</v>
      </c>
      <c r="D94" s="21"/>
      <c r="E94" s="21"/>
      <c r="F94" s="21"/>
      <c r="G94" s="21"/>
      <c r="H94" s="21"/>
      <c r="I94" s="21"/>
      <c r="J94" s="24"/>
      <c r="K94" s="24"/>
      <c r="L94" s="24"/>
      <c r="M94" s="24"/>
      <c r="N94" s="24"/>
      <c r="O94" s="24"/>
      <c r="P94" s="24"/>
      <c r="Q94" s="24"/>
    </row>
    <row r="95" spans="1:17" ht="16.2" x14ac:dyDescent="0.35">
      <c r="A95" s="20">
        <v>26634</v>
      </c>
      <c r="B95" s="21">
        <v>7.45</v>
      </c>
      <c r="C95" s="21">
        <v>1</v>
      </c>
      <c r="D95" s="21"/>
      <c r="E95" s="21"/>
      <c r="F95" s="21"/>
      <c r="G95" s="21"/>
      <c r="H95" s="21"/>
      <c r="I95" s="21"/>
      <c r="J95" s="24"/>
      <c r="K95" s="24"/>
      <c r="L95" s="24"/>
      <c r="M95" s="24"/>
      <c r="N95" s="24"/>
      <c r="O95" s="24"/>
      <c r="P95" s="24"/>
      <c r="Q95" s="24"/>
    </row>
    <row r="96" spans="1:17" ht="16.2" x14ac:dyDescent="0.35">
      <c r="A96" s="20">
        <v>26641</v>
      </c>
      <c r="B96" s="21">
        <v>7.43</v>
      </c>
      <c r="C96" s="21">
        <v>1</v>
      </c>
      <c r="D96" s="21"/>
      <c r="E96" s="21"/>
      <c r="F96" s="21"/>
      <c r="G96" s="21"/>
      <c r="H96" s="21"/>
      <c r="I96" s="21"/>
      <c r="J96" s="24"/>
      <c r="K96" s="24"/>
      <c r="L96" s="24"/>
      <c r="M96" s="24"/>
      <c r="N96" s="24"/>
      <c r="O96" s="24"/>
      <c r="P96" s="24"/>
      <c r="Q96" s="24"/>
    </row>
    <row r="97" spans="1:17" ht="16.2" x14ac:dyDescent="0.35">
      <c r="A97" s="20">
        <v>26648</v>
      </c>
      <c r="B97" s="21">
        <v>7.43</v>
      </c>
      <c r="C97" s="21">
        <v>1</v>
      </c>
      <c r="D97" s="21"/>
      <c r="E97" s="21"/>
      <c r="F97" s="21"/>
      <c r="G97" s="21"/>
      <c r="H97" s="21"/>
      <c r="I97" s="21"/>
      <c r="J97" s="24"/>
      <c r="K97" s="24"/>
      <c r="L97" s="24"/>
      <c r="M97" s="24"/>
      <c r="N97" s="24"/>
      <c r="O97" s="24"/>
      <c r="P97" s="24"/>
      <c r="Q97" s="24"/>
    </row>
    <row r="98" spans="1:17" ht="16.2" x14ac:dyDescent="0.35">
      <c r="A98" s="20">
        <v>26655</v>
      </c>
      <c r="B98" s="21">
        <v>7.45</v>
      </c>
      <c r="C98" s="21">
        <v>1</v>
      </c>
      <c r="D98" s="21"/>
      <c r="E98" s="21"/>
      <c r="F98" s="21"/>
      <c r="G98" s="21"/>
      <c r="H98" s="21"/>
      <c r="I98" s="21"/>
      <c r="J98" s="24"/>
      <c r="K98" s="24"/>
      <c r="L98" s="24"/>
      <c r="M98" s="24"/>
      <c r="N98" s="24"/>
      <c r="O98" s="24"/>
      <c r="P98" s="24"/>
      <c r="Q98" s="24"/>
    </row>
    <row r="99" spans="1:17" ht="16.2" x14ac:dyDescent="0.35">
      <c r="A99" s="20">
        <v>26662</v>
      </c>
      <c r="B99" s="21">
        <v>7.45</v>
      </c>
      <c r="C99" s="21">
        <v>0.9</v>
      </c>
      <c r="D99" s="21"/>
      <c r="E99" s="21"/>
      <c r="F99" s="21"/>
      <c r="G99" s="21"/>
      <c r="H99" s="21"/>
      <c r="I99" s="21"/>
      <c r="J99" s="24"/>
      <c r="K99" s="24"/>
      <c r="L99" s="24"/>
      <c r="M99" s="24"/>
      <c r="N99" s="24"/>
      <c r="O99" s="24"/>
      <c r="P99" s="24"/>
      <c r="Q99" s="24"/>
    </row>
    <row r="100" spans="1:17" ht="16.2" x14ac:dyDescent="0.35">
      <c r="A100" s="20">
        <v>26669</v>
      </c>
      <c r="B100" s="21">
        <v>7.44</v>
      </c>
      <c r="C100" s="21">
        <v>0.9</v>
      </c>
      <c r="D100" s="21"/>
      <c r="E100" s="21"/>
      <c r="F100" s="21"/>
      <c r="G100" s="21"/>
      <c r="H100" s="21"/>
      <c r="I100" s="21"/>
      <c r="J100" s="24"/>
      <c r="K100" s="24"/>
      <c r="L100" s="24"/>
      <c r="M100" s="24"/>
      <c r="N100" s="24"/>
      <c r="O100" s="24"/>
      <c r="P100" s="24"/>
      <c r="Q100" s="24"/>
    </row>
    <row r="101" spans="1:17" ht="16.2" x14ac:dyDescent="0.35">
      <c r="A101" s="20">
        <v>26676</v>
      </c>
      <c r="B101" s="21">
        <v>7.44</v>
      </c>
      <c r="C101" s="21">
        <v>0.9</v>
      </c>
      <c r="D101" s="21"/>
      <c r="E101" s="21"/>
      <c r="F101" s="21"/>
      <c r="G101" s="21"/>
      <c r="H101" s="21"/>
      <c r="I101" s="21"/>
      <c r="J101" s="24"/>
      <c r="K101" s="24"/>
      <c r="L101" s="24"/>
      <c r="M101" s="24"/>
      <c r="N101" s="24"/>
      <c r="O101" s="24"/>
      <c r="P101" s="24"/>
      <c r="Q101" s="24"/>
    </row>
    <row r="102" spans="1:17" ht="16.2" x14ac:dyDescent="0.35">
      <c r="A102" s="20">
        <v>26683</v>
      </c>
      <c r="B102" s="21">
        <v>7.44</v>
      </c>
      <c r="C102" s="21">
        <v>0.9</v>
      </c>
      <c r="D102" s="21"/>
      <c r="E102" s="21"/>
      <c r="F102" s="21"/>
      <c r="G102" s="21"/>
      <c r="H102" s="21"/>
      <c r="I102" s="21"/>
      <c r="J102" s="24"/>
      <c r="K102" s="24"/>
      <c r="L102" s="24"/>
      <c r="M102" s="24"/>
      <c r="N102" s="24"/>
      <c r="O102" s="24"/>
      <c r="P102" s="24"/>
      <c r="Q102" s="24"/>
    </row>
    <row r="103" spans="1:17" ht="16.2" x14ac:dyDescent="0.35">
      <c r="A103" s="20">
        <v>26690</v>
      </c>
      <c r="B103" s="21">
        <v>7.43</v>
      </c>
      <c r="C103" s="21">
        <v>0.9</v>
      </c>
      <c r="D103" s="21"/>
      <c r="E103" s="21"/>
      <c r="F103" s="21"/>
      <c r="G103" s="21"/>
      <c r="H103" s="21"/>
      <c r="I103" s="21"/>
      <c r="J103" s="24"/>
      <c r="K103" s="24"/>
      <c r="L103" s="24"/>
      <c r="M103" s="24"/>
      <c r="N103" s="24"/>
      <c r="O103" s="24"/>
      <c r="P103" s="24"/>
      <c r="Q103" s="24"/>
    </row>
    <row r="104" spans="1:17" ht="16.2" x14ac:dyDescent="0.35">
      <c r="A104" s="20">
        <v>26697</v>
      </c>
      <c r="B104" s="21">
        <v>7.43</v>
      </c>
      <c r="C104" s="21">
        <v>0.9</v>
      </c>
      <c r="D104" s="21"/>
      <c r="E104" s="21"/>
      <c r="F104" s="21"/>
      <c r="G104" s="21"/>
      <c r="H104" s="21"/>
      <c r="I104" s="21"/>
      <c r="J104" s="24"/>
      <c r="K104" s="24"/>
      <c r="L104" s="24"/>
      <c r="M104" s="24"/>
      <c r="N104" s="24"/>
      <c r="O104" s="24"/>
      <c r="P104" s="24"/>
      <c r="Q104" s="24"/>
    </row>
    <row r="105" spans="1:17" ht="16.2" x14ac:dyDescent="0.35">
      <c r="A105" s="20">
        <v>26704</v>
      </c>
      <c r="B105" s="21">
        <v>7.43</v>
      </c>
      <c r="C105" s="21">
        <v>1</v>
      </c>
      <c r="D105" s="21"/>
      <c r="E105" s="21"/>
      <c r="F105" s="21"/>
      <c r="G105" s="21"/>
      <c r="H105" s="21"/>
      <c r="I105" s="21"/>
      <c r="J105" s="24"/>
      <c r="K105" s="24"/>
      <c r="L105" s="24"/>
      <c r="M105" s="24"/>
      <c r="N105" s="24"/>
      <c r="O105" s="24"/>
      <c r="P105" s="24"/>
      <c r="Q105" s="24"/>
    </row>
    <row r="106" spans="1:17" ht="16.2" x14ac:dyDescent="0.35">
      <c r="A106" s="20">
        <v>26711</v>
      </c>
      <c r="B106" s="21">
        <v>7.45</v>
      </c>
      <c r="C106" s="21">
        <v>0.9</v>
      </c>
      <c r="D106" s="21"/>
      <c r="E106" s="21"/>
      <c r="F106" s="21"/>
      <c r="G106" s="21"/>
      <c r="H106" s="21"/>
      <c r="I106" s="21"/>
      <c r="J106" s="24"/>
      <c r="K106" s="24"/>
      <c r="L106" s="24"/>
      <c r="M106" s="24"/>
      <c r="N106" s="24"/>
      <c r="O106" s="24"/>
      <c r="P106" s="24"/>
      <c r="Q106" s="24"/>
    </row>
    <row r="107" spans="1:17" ht="16.2" x14ac:dyDescent="0.35">
      <c r="A107" s="20">
        <v>26718</v>
      </c>
      <c r="B107" s="21">
        <v>7.45</v>
      </c>
      <c r="C107" s="21">
        <v>1</v>
      </c>
      <c r="D107" s="21"/>
      <c r="E107" s="21"/>
      <c r="F107" s="21"/>
      <c r="G107" s="21"/>
      <c r="H107" s="21"/>
      <c r="I107" s="21"/>
      <c r="J107" s="24"/>
      <c r="K107" s="24"/>
      <c r="L107" s="24"/>
      <c r="M107" s="24"/>
      <c r="N107" s="24"/>
      <c r="O107" s="24"/>
      <c r="P107" s="24"/>
      <c r="Q107" s="24"/>
    </row>
    <row r="108" spans="1:17" ht="16.2" x14ac:dyDescent="0.35">
      <c r="A108" s="20">
        <v>26725</v>
      </c>
      <c r="B108" s="21">
        <v>7.45</v>
      </c>
      <c r="C108" s="21">
        <v>1</v>
      </c>
      <c r="D108" s="21"/>
      <c r="E108" s="21"/>
      <c r="F108" s="21"/>
      <c r="G108" s="21"/>
      <c r="H108" s="21"/>
      <c r="I108" s="21"/>
      <c r="J108" s="24"/>
      <c r="K108" s="24"/>
      <c r="L108" s="24"/>
      <c r="M108" s="24"/>
      <c r="N108" s="24"/>
      <c r="O108" s="24"/>
      <c r="P108" s="24"/>
      <c r="Q108" s="24"/>
    </row>
    <row r="109" spans="1:17" ht="16.2" x14ac:dyDescent="0.35">
      <c r="A109" s="20">
        <v>26732</v>
      </c>
      <c r="B109" s="21">
        <v>7.45</v>
      </c>
      <c r="C109" s="21">
        <v>0.9</v>
      </c>
      <c r="D109" s="21"/>
      <c r="E109" s="21"/>
      <c r="F109" s="21"/>
      <c r="G109" s="21"/>
      <c r="H109" s="21"/>
      <c r="I109" s="21"/>
      <c r="J109" s="24"/>
      <c r="K109" s="24"/>
      <c r="L109" s="24"/>
      <c r="M109" s="24"/>
      <c r="N109" s="24"/>
      <c r="O109" s="24"/>
      <c r="P109" s="24"/>
      <c r="Q109" s="24"/>
    </row>
    <row r="110" spans="1:17" ht="16.2" x14ac:dyDescent="0.35">
      <c r="A110" s="20">
        <v>26739</v>
      </c>
      <c r="B110" s="21">
        <v>7.45</v>
      </c>
      <c r="C110" s="21">
        <v>0.9</v>
      </c>
      <c r="D110" s="21"/>
      <c r="E110" s="21"/>
      <c r="F110" s="21"/>
      <c r="G110" s="21"/>
      <c r="H110" s="21"/>
      <c r="I110" s="21"/>
      <c r="J110" s="24"/>
      <c r="K110" s="24"/>
      <c r="L110" s="24"/>
      <c r="M110" s="24"/>
      <c r="N110" s="24"/>
      <c r="O110" s="24"/>
      <c r="P110" s="24"/>
      <c r="Q110" s="24"/>
    </row>
    <row r="111" spans="1:17" ht="16.2" x14ac:dyDescent="0.35">
      <c r="A111" s="20">
        <v>26746</v>
      </c>
      <c r="B111" s="21">
        <v>7.45</v>
      </c>
      <c r="C111" s="21">
        <v>0.9</v>
      </c>
      <c r="D111" s="21"/>
      <c r="E111" s="21"/>
      <c r="F111" s="21"/>
      <c r="G111" s="21"/>
      <c r="H111" s="21"/>
      <c r="I111" s="21"/>
      <c r="J111" s="24"/>
      <c r="K111" s="24"/>
      <c r="L111" s="24"/>
      <c r="M111" s="24"/>
      <c r="N111" s="24"/>
      <c r="O111" s="24"/>
      <c r="P111" s="24"/>
      <c r="Q111" s="24"/>
    </row>
    <row r="112" spans="1:17" ht="16.2" x14ac:dyDescent="0.35">
      <c r="A112" s="20">
        <v>26753</v>
      </c>
      <c r="B112" s="21">
        <v>7.49</v>
      </c>
      <c r="C112" s="21">
        <v>0.9</v>
      </c>
      <c r="D112" s="21"/>
      <c r="E112" s="21"/>
      <c r="F112" s="21"/>
      <c r="G112" s="21"/>
      <c r="H112" s="21"/>
      <c r="I112" s="21"/>
      <c r="J112" s="24"/>
      <c r="K112" s="24"/>
      <c r="L112" s="24"/>
      <c r="M112" s="24"/>
      <c r="N112" s="24"/>
      <c r="O112" s="24"/>
      <c r="P112" s="24"/>
      <c r="Q112" s="24"/>
    </row>
    <row r="113" spans="1:17" ht="16.2" x14ac:dyDescent="0.35">
      <c r="A113" s="20">
        <v>26760</v>
      </c>
      <c r="B113" s="21">
        <v>7.51</v>
      </c>
      <c r="C113" s="21">
        <v>1</v>
      </c>
      <c r="D113" s="21"/>
      <c r="E113" s="21"/>
      <c r="F113" s="21"/>
      <c r="G113" s="21"/>
      <c r="H113" s="21"/>
      <c r="I113" s="21"/>
      <c r="J113" s="24"/>
      <c r="K113" s="24"/>
      <c r="L113" s="24"/>
      <c r="M113" s="24"/>
      <c r="N113" s="24"/>
      <c r="O113" s="24"/>
      <c r="P113" s="24"/>
      <c r="Q113" s="24"/>
    </row>
    <row r="114" spans="1:17" ht="16.2" x14ac:dyDescent="0.35">
      <c r="A114" s="20">
        <v>26767</v>
      </c>
      <c r="B114" s="21">
        <v>7.54</v>
      </c>
      <c r="C114" s="21">
        <v>0.9</v>
      </c>
      <c r="D114" s="21"/>
      <c r="E114" s="21"/>
      <c r="F114" s="21"/>
      <c r="G114" s="21"/>
      <c r="H114" s="21"/>
      <c r="I114" s="21"/>
      <c r="J114" s="24"/>
      <c r="K114" s="24"/>
      <c r="L114" s="24"/>
      <c r="M114" s="24"/>
      <c r="N114" s="24"/>
      <c r="O114" s="24"/>
      <c r="P114" s="24"/>
      <c r="Q114" s="24"/>
    </row>
    <row r="115" spans="1:17" ht="16.2" x14ac:dyDescent="0.35">
      <c r="A115" s="20">
        <v>26774</v>
      </c>
      <c r="B115" s="21">
        <v>7.56</v>
      </c>
      <c r="C115" s="21">
        <v>0.9</v>
      </c>
      <c r="D115" s="21"/>
      <c r="E115" s="21"/>
      <c r="F115" s="21"/>
      <c r="G115" s="21"/>
      <c r="H115" s="21"/>
      <c r="I115" s="21"/>
      <c r="J115" s="24"/>
      <c r="K115" s="24"/>
      <c r="L115" s="24"/>
      <c r="M115" s="24"/>
      <c r="N115" s="24"/>
      <c r="O115" s="24"/>
      <c r="P115" s="24"/>
      <c r="Q115" s="24"/>
    </row>
    <row r="116" spans="1:17" ht="16.2" x14ac:dyDescent="0.35">
      <c r="A116" s="20">
        <v>26781</v>
      </c>
      <c r="B116" s="21">
        <v>7.56</v>
      </c>
      <c r="C116" s="21">
        <v>0.9</v>
      </c>
      <c r="D116" s="21"/>
      <c r="E116" s="21"/>
      <c r="F116" s="21"/>
      <c r="G116" s="21"/>
      <c r="H116" s="21"/>
      <c r="I116" s="21"/>
      <c r="J116" s="24"/>
      <c r="K116" s="24"/>
      <c r="L116" s="24"/>
      <c r="M116" s="24"/>
      <c r="N116" s="24"/>
      <c r="O116" s="24"/>
      <c r="P116" s="24"/>
      <c r="Q116" s="24"/>
    </row>
    <row r="117" spans="1:17" ht="16.2" x14ac:dyDescent="0.35">
      <c r="A117" s="20">
        <v>26788</v>
      </c>
      <c r="B117" s="21">
        <v>7.58</v>
      </c>
      <c r="C117" s="21">
        <v>0.9</v>
      </c>
      <c r="D117" s="21"/>
      <c r="E117" s="21"/>
      <c r="F117" s="21"/>
      <c r="G117" s="21"/>
      <c r="H117" s="21"/>
      <c r="I117" s="21"/>
      <c r="J117" s="24"/>
      <c r="K117" s="24"/>
      <c r="L117" s="24"/>
      <c r="M117" s="24"/>
      <c r="N117" s="24"/>
      <c r="O117" s="24"/>
      <c r="P117" s="24"/>
      <c r="Q117" s="24"/>
    </row>
    <row r="118" spans="1:17" ht="16.2" x14ac:dyDescent="0.35">
      <c r="A118" s="20">
        <v>26795</v>
      </c>
      <c r="B118" s="21">
        <v>7.64</v>
      </c>
      <c r="C118" s="21">
        <v>0.9</v>
      </c>
      <c r="D118" s="21"/>
      <c r="E118" s="21"/>
      <c r="F118" s="21"/>
      <c r="G118" s="21"/>
      <c r="H118" s="21"/>
      <c r="I118" s="21"/>
      <c r="J118" s="24"/>
      <c r="K118" s="24"/>
      <c r="L118" s="24"/>
      <c r="M118" s="24"/>
      <c r="N118" s="24"/>
      <c r="O118" s="24"/>
      <c r="P118" s="24"/>
      <c r="Q118" s="24"/>
    </row>
    <row r="119" spans="1:17" ht="16.2" x14ac:dyDescent="0.35">
      <c r="A119" s="20">
        <v>26802</v>
      </c>
      <c r="B119" s="21">
        <v>7.69</v>
      </c>
      <c r="C119" s="21">
        <v>0.9</v>
      </c>
      <c r="D119" s="21"/>
      <c r="E119" s="21"/>
      <c r="F119" s="21"/>
      <c r="G119" s="21"/>
      <c r="H119" s="21"/>
      <c r="I119" s="21"/>
      <c r="J119" s="24"/>
      <c r="K119" s="24"/>
      <c r="L119" s="24"/>
      <c r="M119" s="24"/>
      <c r="N119" s="24"/>
      <c r="O119" s="24"/>
      <c r="P119" s="24"/>
      <c r="Q119" s="24"/>
    </row>
    <row r="120" spans="1:17" ht="16.2" x14ac:dyDescent="0.35">
      <c r="A120" s="20">
        <v>26808</v>
      </c>
      <c r="B120" s="21">
        <v>7.7</v>
      </c>
      <c r="C120" s="21">
        <v>0.9</v>
      </c>
      <c r="D120" s="21"/>
      <c r="E120" s="21"/>
      <c r="F120" s="21"/>
      <c r="G120" s="21"/>
      <c r="H120" s="21"/>
      <c r="I120" s="21"/>
      <c r="J120" s="24"/>
      <c r="K120" s="24"/>
      <c r="L120" s="24"/>
      <c r="M120" s="24"/>
      <c r="N120" s="24"/>
      <c r="O120" s="24"/>
      <c r="P120" s="24"/>
      <c r="Q120" s="24"/>
    </row>
    <row r="121" spans="1:17" ht="16.2" x14ac:dyDescent="0.35">
      <c r="A121" s="20">
        <v>26816</v>
      </c>
      <c r="B121" s="21">
        <v>7.7</v>
      </c>
      <c r="C121" s="21">
        <v>0.9</v>
      </c>
      <c r="D121" s="21"/>
      <c r="E121" s="21"/>
      <c r="F121" s="21"/>
      <c r="G121" s="21"/>
      <c r="H121" s="21"/>
      <c r="I121" s="21"/>
      <c r="J121" s="24"/>
      <c r="K121" s="24"/>
      <c r="L121" s="24"/>
      <c r="M121" s="24"/>
      <c r="N121" s="24"/>
      <c r="O121" s="24"/>
      <c r="P121" s="24"/>
      <c r="Q121" s="24"/>
    </row>
    <row r="122" spans="1:17" ht="16.2" x14ac:dyDescent="0.35">
      <c r="A122" s="20">
        <v>26823</v>
      </c>
      <c r="B122" s="21">
        <v>7.73</v>
      </c>
      <c r="C122" s="21">
        <v>0.9</v>
      </c>
      <c r="D122" s="21"/>
      <c r="E122" s="21"/>
      <c r="F122" s="21"/>
      <c r="G122" s="21"/>
      <c r="H122" s="21"/>
      <c r="I122" s="21"/>
      <c r="J122" s="24"/>
      <c r="K122" s="24"/>
      <c r="L122" s="24"/>
      <c r="M122" s="24"/>
      <c r="N122" s="24"/>
      <c r="O122" s="24"/>
      <c r="P122" s="24"/>
      <c r="Q122" s="24"/>
    </row>
    <row r="123" spans="1:17" ht="16.2" x14ac:dyDescent="0.35">
      <c r="A123" s="20">
        <v>26830</v>
      </c>
      <c r="B123" s="21">
        <v>7.73</v>
      </c>
      <c r="C123" s="21">
        <v>0.9</v>
      </c>
      <c r="D123" s="21"/>
      <c r="E123" s="21"/>
      <c r="F123" s="21"/>
      <c r="G123" s="21"/>
      <c r="H123" s="21"/>
      <c r="I123" s="21"/>
      <c r="J123" s="24"/>
      <c r="K123" s="24"/>
      <c r="L123" s="24"/>
      <c r="M123" s="24"/>
      <c r="N123" s="24"/>
      <c r="O123" s="24"/>
      <c r="P123" s="24"/>
      <c r="Q123" s="24"/>
    </row>
    <row r="124" spans="1:17" ht="16.2" x14ac:dyDescent="0.35">
      <c r="A124" s="20">
        <v>26837</v>
      </c>
      <c r="B124" s="21">
        <v>7.75</v>
      </c>
      <c r="C124" s="21">
        <v>0.9</v>
      </c>
      <c r="D124" s="21"/>
      <c r="E124" s="21"/>
      <c r="F124" s="21"/>
      <c r="G124" s="21"/>
      <c r="H124" s="21"/>
      <c r="I124" s="21"/>
      <c r="J124" s="24"/>
      <c r="K124" s="24"/>
      <c r="L124" s="24"/>
      <c r="M124" s="24"/>
      <c r="N124" s="24"/>
      <c r="O124" s="24"/>
      <c r="P124" s="24"/>
      <c r="Q124" s="24"/>
    </row>
    <row r="125" spans="1:17" ht="16.2" x14ac:dyDescent="0.35">
      <c r="A125" s="20">
        <v>26844</v>
      </c>
      <c r="B125" s="21">
        <v>7.76</v>
      </c>
      <c r="C125" s="21">
        <v>0.9</v>
      </c>
      <c r="D125" s="21"/>
      <c r="E125" s="21"/>
      <c r="F125" s="21"/>
      <c r="G125" s="21"/>
      <c r="H125" s="21"/>
      <c r="I125" s="21"/>
      <c r="J125" s="24"/>
      <c r="K125" s="24"/>
      <c r="L125" s="24"/>
      <c r="M125" s="24"/>
      <c r="N125" s="24"/>
      <c r="O125" s="24"/>
      <c r="P125" s="24"/>
      <c r="Q125" s="24"/>
    </row>
    <row r="126" spans="1:17" ht="16.2" x14ac:dyDescent="0.35">
      <c r="A126" s="20">
        <v>26851</v>
      </c>
      <c r="B126" s="21">
        <v>7.89</v>
      </c>
      <c r="C126" s="21">
        <v>0.9</v>
      </c>
      <c r="D126" s="21"/>
      <c r="E126" s="21"/>
      <c r="F126" s="21"/>
      <c r="G126" s="21"/>
      <c r="H126" s="21"/>
      <c r="I126" s="21"/>
      <c r="J126" s="24"/>
      <c r="K126" s="24"/>
      <c r="L126" s="24"/>
      <c r="M126" s="24"/>
      <c r="N126" s="24"/>
      <c r="O126" s="24"/>
      <c r="P126" s="24"/>
      <c r="Q126" s="24"/>
    </row>
    <row r="127" spans="1:17" ht="16.2" x14ac:dyDescent="0.35">
      <c r="A127" s="20">
        <v>26858</v>
      </c>
      <c r="B127" s="21">
        <v>8.01</v>
      </c>
      <c r="C127" s="21">
        <v>1</v>
      </c>
      <c r="D127" s="21"/>
      <c r="E127" s="21"/>
      <c r="F127" s="21"/>
      <c r="G127" s="21"/>
      <c r="H127" s="21"/>
      <c r="I127" s="21"/>
      <c r="J127" s="24"/>
      <c r="K127" s="24"/>
      <c r="L127" s="24"/>
      <c r="M127" s="24"/>
      <c r="N127" s="24"/>
      <c r="O127" s="24"/>
      <c r="P127" s="24"/>
      <c r="Q127" s="24"/>
    </row>
    <row r="128" spans="1:17" ht="16.2"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ht="16.2" x14ac:dyDescent="0.35">
      <c r="A129" s="20">
        <v>26872</v>
      </c>
      <c r="B129" s="21">
        <v>8.18</v>
      </c>
      <c r="C129" s="21">
        <v>1</v>
      </c>
      <c r="D129" s="21"/>
      <c r="E129" s="21"/>
      <c r="F129" s="21"/>
      <c r="G129" s="21"/>
      <c r="H129" s="21"/>
      <c r="I129" s="21"/>
      <c r="J129" s="24"/>
      <c r="K129" s="24"/>
      <c r="L129" s="24"/>
      <c r="M129" s="24"/>
      <c r="N129" s="24"/>
      <c r="O129" s="24"/>
      <c r="P129" s="24"/>
      <c r="Q129" s="24"/>
    </row>
    <row r="130" spans="1:17" ht="16.2" x14ac:dyDescent="0.35">
      <c r="A130" s="20">
        <v>26879</v>
      </c>
      <c r="B130" s="21">
        <v>8.26</v>
      </c>
      <c r="C130" s="21">
        <v>1</v>
      </c>
      <c r="D130" s="21"/>
      <c r="E130" s="21"/>
      <c r="F130" s="21"/>
      <c r="G130" s="21"/>
      <c r="H130" s="21"/>
      <c r="I130" s="21"/>
      <c r="J130" s="24"/>
      <c r="K130" s="24"/>
      <c r="L130" s="24"/>
      <c r="M130" s="24"/>
      <c r="N130" s="24"/>
      <c r="O130" s="24"/>
      <c r="P130" s="24"/>
      <c r="Q130" s="24"/>
    </row>
    <row r="131" spans="1:17" ht="16.2"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ht="16.2"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ht="16.2" x14ac:dyDescent="0.35">
      <c r="A133" s="20">
        <v>26900</v>
      </c>
      <c r="B133" s="21">
        <v>8.61</v>
      </c>
      <c r="C133" s="21">
        <v>1</v>
      </c>
      <c r="D133" s="21"/>
      <c r="E133" s="21"/>
      <c r="F133" s="21"/>
      <c r="G133" s="21"/>
      <c r="H133" s="21"/>
      <c r="I133" s="21"/>
      <c r="J133" s="24"/>
      <c r="K133" s="24"/>
      <c r="L133" s="24"/>
      <c r="M133" s="24"/>
      <c r="N133" s="24"/>
      <c r="O133" s="24"/>
      <c r="P133" s="24"/>
      <c r="Q133" s="24"/>
    </row>
    <row r="134" spans="1:17" ht="16.2"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ht="16.2"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ht="16.2"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ht="16.2"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ht="16.2"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ht="16.2"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ht="16.2"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ht="16.2" x14ac:dyDescent="0.35">
      <c r="A141" s="20">
        <v>26956</v>
      </c>
      <c r="B141" s="21">
        <v>8.75</v>
      </c>
      <c r="C141" s="21">
        <v>1</v>
      </c>
      <c r="D141" s="21"/>
      <c r="E141" s="21"/>
      <c r="F141" s="21"/>
      <c r="G141" s="21"/>
      <c r="H141" s="21"/>
      <c r="I141" s="21"/>
      <c r="J141" s="24"/>
      <c r="K141" s="24"/>
      <c r="L141" s="24"/>
      <c r="M141" s="24"/>
      <c r="N141" s="24"/>
      <c r="O141" s="24"/>
      <c r="P141" s="24"/>
      <c r="Q141" s="24"/>
    </row>
    <row r="142" spans="1:17" ht="16.2" x14ac:dyDescent="0.35">
      <c r="A142" s="20">
        <v>26963</v>
      </c>
      <c r="B142" s="21">
        <v>8.68</v>
      </c>
      <c r="C142" s="21">
        <v>1</v>
      </c>
      <c r="D142" s="21"/>
      <c r="E142" s="21"/>
      <c r="F142" s="21"/>
      <c r="G142" s="21"/>
      <c r="H142" s="21"/>
      <c r="I142" s="21"/>
      <c r="J142" s="24"/>
      <c r="K142" s="24"/>
      <c r="L142" s="24"/>
      <c r="M142" s="24"/>
      <c r="N142" s="24"/>
      <c r="O142" s="24"/>
      <c r="P142" s="24"/>
      <c r="Q142" s="24"/>
    </row>
    <row r="143" spans="1:17" ht="16.2"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ht="16.2" x14ac:dyDescent="0.35">
      <c r="A144" s="20">
        <v>26977</v>
      </c>
      <c r="B144" s="21">
        <v>8.59</v>
      </c>
      <c r="C144" s="21">
        <v>1</v>
      </c>
      <c r="D144" s="21"/>
      <c r="E144" s="21"/>
      <c r="F144" s="21"/>
      <c r="G144" s="21"/>
      <c r="H144" s="21"/>
      <c r="I144" s="21"/>
      <c r="J144" s="24"/>
      <c r="K144" s="24"/>
      <c r="L144" s="24"/>
      <c r="M144" s="24"/>
      <c r="N144" s="24"/>
      <c r="O144" s="24"/>
      <c r="P144" s="24"/>
      <c r="Q144" s="24"/>
    </row>
    <row r="145" spans="1:17" ht="16.2" x14ac:dyDescent="0.35">
      <c r="A145" s="20">
        <v>26984</v>
      </c>
      <c r="B145" s="21">
        <v>8.58</v>
      </c>
      <c r="C145" s="21">
        <v>1</v>
      </c>
      <c r="D145" s="21"/>
      <c r="E145" s="21"/>
      <c r="F145" s="21"/>
      <c r="G145" s="21"/>
      <c r="H145" s="21"/>
      <c r="I145" s="21"/>
      <c r="J145" s="24"/>
      <c r="K145" s="24"/>
      <c r="L145" s="24"/>
      <c r="M145" s="24"/>
      <c r="N145" s="24"/>
      <c r="O145" s="24"/>
      <c r="P145" s="24"/>
      <c r="Q145" s="24"/>
    </row>
    <row r="146" spans="1:17" ht="16.2" x14ac:dyDescent="0.35">
      <c r="A146" s="20">
        <v>26991</v>
      </c>
      <c r="B146" s="21">
        <v>8.57</v>
      </c>
      <c r="C146" s="21">
        <v>1</v>
      </c>
      <c r="D146" s="21"/>
      <c r="E146" s="21"/>
      <c r="F146" s="21"/>
      <c r="G146" s="21"/>
      <c r="H146" s="21"/>
      <c r="I146" s="21"/>
      <c r="J146" s="24"/>
      <c r="K146" s="24"/>
      <c r="L146" s="24"/>
      <c r="M146" s="24"/>
      <c r="N146" s="24"/>
      <c r="O146" s="24"/>
      <c r="P146" s="24"/>
      <c r="Q146" s="24"/>
    </row>
    <row r="147" spans="1:17" ht="16.2"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ht="16.2"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ht="16.2"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ht="16.2"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ht="16.2" x14ac:dyDescent="0.35">
      <c r="A151" s="20">
        <v>27026</v>
      </c>
      <c r="B151" s="21">
        <v>8.56</v>
      </c>
      <c r="C151" s="21">
        <v>1</v>
      </c>
      <c r="D151" s="21"/>
      <c r="E151" s="21"/>
      <c r="F151" s="21"/>
      <c r="G151" s="21"/>
      <c r="H151" s="21"/>
      <c r="I151" s="21"/>
      <c r="J151" s="24"/>
      <c r="K151" s="24"/>
      <c r="L151" s="24"/>
      <c r="M151" s="24"/>
      <c r="N151" s="24"/>
      <c r="O151" s="24"/>
      <c r="P151" s="24"/>
      <c r="Q151" s="24"/>
    </row>
    <row r="152" spans="1:17" ht="16.2" x14ac:dyDescent="0.35">
      <c r="A152" s="20">
        <v>27033</v>
      </c>
      <c r="B152" s="21">
        <v>8.56</v>
      </c>
      <c r="C152" s="21">
        <v>1</v>
      </c>
      <c r="D152" s="21"/>
      <c r="E152" s="21"/>
      <c r="F152" s="21"/>
      <c r="G152" s="21"/>
      <c r="H152" s="21"/>
      <c r="I152" s="21"/>
      <c r="J152" s="24"/>
      <c r="K152" s="24"/>
      <c r="L152" s="24"/>
      <c r="M152" s="24"/>
      <c r="N152" s="24"/>
      <c r="O152" s="24"/>
      <c r="P152" s="24"/>
      <c r="Q152" s="24"/>
    </row>
    <row r="153" spans="1:17" ht="16.2"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ht="16.2"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ht="16.2" x14ac:dyDescent="0.35">
      <c r="A155" s="20">
        <v>27054</v>
      </c>
      <c r="B155" s="21">
        <v>8.52</v>
      </c>
      <c r="C155" s="21">
        <v>1</v>
      </c>
      <c r="D155" s="21"/>
      <c r="E155" s="21"/>
      <c r="F155" s="21"/>
      <c r="G155" s="21"/>
      <c r="H155" s="21"/>
      <c r="I155" s="21"/>
      <c r="J155" s="24"/>
      <c r="K155" s="24"/>
      <c r="L155" s="24"/>
      <c r="M155" s="24"/>
      <c r="N155" s="24"/>
      <c r="O155" s="24"/>
      <c r="P155" s="24"/>
      <c r="Q155" s="24"/>
    </row>
    <row r="156" spans="1:17" ht="16.2" x14ac:dyDescent="0.35">
      <c r="A156" s="20">
        <v>27061</v>
      </c>
      <c r="B156" s="21">
        <v>8.48</v>
      </c>
      <c r="C156" s="21">
        <v>1</v>
      </c>
      <c r="D156" s="21"/>
      <c r="E156" s="21"/>
      <c r="F156" s="21"/>
      <c r="G156" s="21"/>
      <c r="H156" s="21"/>
      <c r="I156" s="21"/>
      <c r="J156" s="24"/>
      <c r="K156" s="24"/>
      <c r="L156" s="24"/>
      <c r="M156" s="24"/>
      <c r="N156" s="24"/>
      <c r="O156" s="24"/>
      <c r="P156" s="24"/>
      <c r="Q156" s="24"/>
    </row>
    <row r="157" spans="1:17" ht="16.2"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ht="16.2"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ht="16.2" x14ac:dyDescent="0.35">
      <c r="A159" s="20">
        <v>27082</v>
      </c>
      <c r="B159" s="21">
        <v>8.42</v>
      </c>
      <c r="C159" s="21">
        <v>1</v>
      </c>
      <c r="D159" s="21"/>
      <c r="E159" s="21"/>
      <c r="F159" s="21"/>
      <c r="G159" s="21"/>
      <c r="H159" s="21"/>
      <c r="I159" s="21"/>
      <c r="J159" s="24"/>
      <c r="K159" s="24"/>
      <c r="L159" s="24"/>
      <c r="M159" s="24"/>
      <c r="N159" s="24"/>
      <c r="O159" s="24"/>
      <c r="P159" s="24"/>
      <c r="Q159" s="24"/>
    </row>
    <row r="160" spans="1:17" ht="16.2" x14ac:dyDescent="0.35">
      <c r="A160" s="20">
        <v>27089</v>
      </c>
      <c r="B160" s="21">
        <v>8.41</v>
      </c>
      <c r="C160" s="21">
        <v>1</v>
      </c>
      <c r="D160" s="21"/>
      <c r="E160" s="21"/>
      <c r="F160" s="21"/>
      <c r="G160" s="21"/>
      <c r="H160" s="21"/>
      <c r="I160" s="21"/>
      <c r="J160" s="24"/>
      <c r="K160" s="24"/>
      <c r="L160" s="24"/>
      <c r="M160" s="24"/>
      <c r="N160" s="24"/>
      <c r="O160" s="24"/>
      <c r="P160" s="24"/>
      <c r="Q160" s="24"/>
    </row>
    <row r="161" spans="1:17" ht="16.2" x14ac:dyDescent="0.35">
      <c r="A161" s="20">
        <v>27096</v>
      </c>
      <c r="B161" s="21">
        <v>8.41</v>
      </c>
      <c r="C161" s="21">
        <v>1</v>
      </c>
      <c r="D161" s="21"/>
      <c r="E161" s="21"/>
      <c r="F161" s="21"/>
      <c r="G161" s="21"/>
      <c r="H161" s="21"/>
      <c r="I161" s="21"/>
      <c r="J161" s="24"/>
      <c r="K161" s="24"/>
      <c r="L161" s="24"/>
      <c r="M161" s="24"/>
      <c r="N161" s="24"/>
      <c r="O161" s="24"/>
      <c r="P161" s="24"/>
      <c r="Q161" s="24"/>
    </row>
    <row r="162" spans="1:17" ht="16.2" x14ac:dyDescent="0.35">
      <c r="A162" s="20">
        <v>27103</v>
      </c>
      <c r="B162" s="21">
        <v>8.4</v>
      </c>
      <c r="C162" s="21">
        <v>1</v>
      </c>
      <c r="D162" s="21"/>
      <c r="E162" s="21"/>
      <c r="F162" s="21"/>
      <c r="G162" s="21"/>
      <c r="H162" s="21"/>
      <c r="I162" s="21"/>
      <c r="J162" s="24"/>
      <c r="K162" s="24"/>
      <c r="L162" s="24"/>
      <c r="M162" s="24"/>
      <c r="N162" s="24"/>
      <c r="O162" s="24"/>
      <c r="P162" s="24"/>
      <c r="Q162" s="24"/>
    </row>
    <row r="163" spans="1:17" ht="16.2" x14ac:dyDescent="0.35">
      <c r="A163" s="20">
        <v>27110</v>
      </c>
      <c r="B163" s="21">
        <v>8.4</v>
      </c>
      <c r="C163" s="21">
        <v>1</v>
      </c>
      <c r="D163" s="21"/>
      <c r="E163" s="21"/>
      <c r="F163" s="21"/>
      <c r="G163" s="21"/>
      <c r="H163" s="21"/>
      <c r="I163" s="21"/>
      <c r="J163" s="24"/>
      <c r="K163" s="24"/>
      <c r="L163" s="24"/>
      <c r="M163" s="24"/>
      <c r="N163" s="24"/>
      <c r="O163" s="24"/>
      <c r="P163" s="24"/>
      <c r="Q163" s="24"/>
    </row>
    <row r="164" spans="1:17" ht="16.2" x14ac:dyDescent="0.35">
      <c r="A164" s="20">
        <v>27117</v>
      </c>
      <c r="B164" s="21">
        <v>8.41</v>
      </c>
      <c r="C164" s="21">
        <v>1</v>
      </c>
      <c r="D164" s="21"/>
      <c r="E164" s="21"/>
      <c r="F164" s="21"/>
      <c r="G164" s="21"/>
      <c r="H164" s="21"/>
      <c r="I164" s="21"/>
      <c r="J164" s="24"/>
      <c r="K164" s="24"/>
      <c r="L164" s="24"/>
      <c r="M164" s="24"/>
      <c r="N164" s="24"/>
      <c r="O164" s="24"/>
      <c r="P164" s="24"/>
      <c r="Q164" s="24"/>
    </row>
    <row r="165" spans="1:17" ht="16.2" x14ac:dyDescent="0.35">
      <c r="A165" s="20">
        <v>27124</v>
      </c>
      <c r="B165" s="21">
        <v>8.44</v>
      </c>
      <c r="C165" s="21">
        <v>1</v>
      </c>
      <c r="D165" s="21"/>
      <c r="E165" s="21"/>
      <c r="F165" s="21"/>
      <c r="G165" s="21"/>
      <c r="H165" s="21"/>
      <c r="I165" s="21"/>
      <c r="J165" s="24"/>
      <c r="K165" s="24"/>
      <c r="L165" s="24"/>
      <c r="M165" s="24"/>
      <c r="N165" s="24"/>
      <c r="O165" s="24"/>
      <c r="P165" s="24"/>
      <c r="Q165" s="24"/>
    </row>
    <row r="166" spans="1:17" ht="16.2"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ht="16.2"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ht="16.2" x14ac:dyDescent="0.35">
      <c r="A168" s="20">
        <v>27145</v>
      </c>
      <c r="B168" s="21">
        <v>8.73</v>
      </c>
      <c r="C168" s="21">
        <v>1</v>
      </c>
      <c r="D168" s="21"/>
      <c r="E168" s="21"/>
      <c r="F168" s="21"/>
      <c r="G168" s="21"/>
      <c r="H168" s="21"/>
      <c r="I168" s="21"/>
      <c r="J168" s="24"/>
      <c r="K168" s="24"/>
      <c r="L168" s="24"/>
      <c r="M168" s="24"/>
      <c r="N168" s="24"/>
      <c r="O168" s="24"/>
      <c r="P168" s="24"/>
      <c r="Q168" s="24"/>
    </row>
    <row r="169" spans="1:17" ht="16.2"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ht="16.2" x14ac:dyDescent="0.35">
      <c r="A170" s="20">
        <v>27159</v>
      </c>
      <c r="B170" s="21">
        <v>8.98</v>
      </c>
      <c r="C170" s="21">
        <v>1</v>
      </c>
      <c r="D170" s="21"/>
      <c r="E170" s="21"/>
      <c r="F170" s="21"/>
      <c r="G170" s="21"/>
      <c r="H170" s="21"/>
      <c r="I170" s="21"/>
      <c r="J170" s="24"/>
      <c r="K170" s="24"/>
      <c r="L170" s="24"/>
      <c r="M170" s="24"/>
      <c r="N170" s="24"/>
      <c r="O170" s="24"/>
      <c r="P170" s="24"/>
      <c r="Q170" s="24"/>
    </row>
    <row r="171" spans="1:17" ht="16.2"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ht="16.2"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ht="16.2"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ht="16.2" x14ac:dyDescent="0.35">
      <c r="A174" s="20">
        <v>27187</v>
      </c>
      <c r="B174" s="21">
        <v>9.06</v>
      </c>
      <c r="C174" s="21">
        <v>1.2</v>
      </c>
      <c r="D174" s="21"/>
      <c r="E174" s="21"/>
      <c r="F174" s="21"/>
      <c r="G174" s="21"/>
      <c r="H174" s="21"/>
      <c r="I174" s="21"/>
      <c r="J174" s="24"/>
      <c r="K174" s="24"/>
      <c r="L174" s="24"/>
      <c r="M174" s="24"/>
      <c r="N174" s="24"/>
      <c r="O174" s="24"/>
      <c r="P174" s="24"/>
      <c r="Q174" s="24"/>
    </row>
    <row r="175" spans="1:17" ht="16.2"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ht="16.2" x14ac:dyDescent="0.35">
      <c r="A176" s="20">
        <v>27201</v>
      </c>
      <c r="B176" s="21">
        <v>9.07</v>
      </c>
      <c r="C176" s="21">
        <v>1.2</v>
      </c>
      <c r="D176" s="21"/>
      <c r="E176" s="21"/>
      <c r="F176" s="21"/>
      <c r="G176" s="21"/>
      <c r="H176" s="21"/>
      <c r="I176" s="21"/>
      <c r="J176" s="24"/>
      <c r="K176" s="24"/>
      <c r="L176" s="24"/>
      <c r="M176" s="24"/>
      <c r="N176" s="24"/>
      <c r="O176" s="24"/>
      <c r="P176" s="24"/>
      <c r="Q176" s="24"/>
    </row>
    <row r="177" spans="1:17" ht="16.2" x14ac:dyDescent="0.35">
      <c r="A177" s="20">
        <v>27208</v>
      </c>
      <c r="B177" s="21">
        <v>9.1</v>
      </c>
      <c r="C177" s="21">
        <v>1.3</v>
      </c>
      <c r="D177" s="21"/>
      <c r="E177" s="21"/>
      <c r="F177" s="21"/>
      <c r="G177" s="21"/>
      <c r="H177" s="21"/>
      <c r="I177" s="21"/>
      <c r="J177" s="24"/>
      <c r="K177" s="24"/>
      <c r="L177" s="24"/>
      <c r="M177" s="24"/>
      <c r="N177" s="24"/>
      <c r="O177" s="24"/>
      <c r="P177" s="24"/>
      <c r="Q177" s="24"/>
    </row>
    <row r="178" spans="1:17" ht="16.2" x14ac:dyDescent="0.35">
      <c r="A178" s="20">
        <v>27215</v>
      </c>
      <c r="B178" s="21">
        <v>9.14</v>
      </c>
      <c r="C178" s="21">
        <v>1.3</v>
      </c>
      <c r="D178" s="21"/>
      <c r="E178" s="21"/>
      <c r="F178" s="21"/>
      <c r="G178" s="21"/>
      <c r="H178" s="21"/>
      <c r="I178" s="21"/>
      <c r="J178" s="24"/>
      <c r="K178" s="24"/>
      <c r="L178" s="24"/>
      <c r="M178" s="24"/>
      <c r="N178" s="24"/>
      <c r="O178" s="24"/>
      <c r="P178" s="24"/>
      <c r="Q178" s="24"/>
    </row>
    <row r="179" spans="1:17" ht="16.2" x14ac:dyDescent="0.35">
      <c r="A179" s="20">
        <v>27222</v>
      </c>
      <c r="B179" s="21">
        <v>9.19</v>
      </c>
      <c r="C179" s="21">
        <v>1.3</v>
      </c>
      <c r="D179" s="21"/>
      <c r="E179" s="21"/>
      <c r="F179" s="21"/>
      <c r="G179" s="21"/>
      <c r="H179" s="21"/>
      <c r="I179" s="21"/>
      <c r="J179" s="24"/>
      <c r="K179" s="24"/>
      <c r="L179" s="24"/>
      <c r="M179" s="24"/>
      <c r="N179" s="24"/>
      <c r="O179" s="24"/>
      <c r="P179" s="24"/>
      <c r="Q179" s="24"/>
    </row>
    <row r="180" spans="1:17" ht="16.2"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ht="16.2" x14ac:dyDescent="0.35">
      <c r="A181" s="20">
        <v>27236</v>
      </c>
      <c r="B181" s="21">
        <v>9.42</v>
      </c>
      <c r="C181" s="21">
        <v>1.2</v>
      </c>
      <c r="D181" s="21"/>
      <c r="E181" s="21"/>
      <c r="F181" s="21"/>
      <c r="G181" s="21"/>
      <c r="H181" s="21"/>
      <c r="I181" s="21"/>
      <c r="J181" s="24"/>
      <c r="K181" s="24"/>
      <c r="L181" s="24"/>
      <c r="M181" s="24"/>
      <c r="N181" s="24"/>
      <c r="O181" s="24"/>
      <c r="P181" s="24"/>
      <c r="Q181" s="24"/>
    </row>
    <row r="182" spans="1:17" ht="16.2"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ht="16.2" x14ac:dyDescent="0.35">
      <c r="A183" s="20">
        <v>27250</v>
      </c>
      <c r="B183" s="21">
        <v>9.5</v>
      </c>
      <c r="C183" s="21">
        <v>1.3</v>
      </c>
      <c r="D183" s="21"/>
      <c r="E183" s="21"/>
      <c r="F183" s="21"/>
      <c r="G183" s="21"/>
      <c r="H183" s="21"/>
      <c r="I183" s="21"/>
      <c r="J183" s="24"/>
      <c r="K183" s="24"/>
      <c r="L183" s="24"/>
      <c r="M183" s="24"/>
      <c r="N183" s="24"/>
      <c r="O183" s="24"/>
      <c r="P183" s="24"/>
      <c r="Q183" s="24"/>
    </row>
    <row r="184" spans="1:17" ht="16.2" x14ac:dyDescent="0.35">
      <c r="A184" s="20">
        <v>27257</v>
      </c>
      <c r="B184" s="21">
        <v>9.6</v>
      </c>
      <c r="C184" s="21">
        <v>1.2</v>
      </c>
      <c r="D184" s="21"/>
      <c r="E184" s="21"/>
      <c r="F184" s="21"/>
      <c r="G184" s="21"/>
      <c r="H184" s="21"/>
      <c r="I184" s="21"/>
      <c r="J184" s="24"/>
      <c r="K184" s="24"/>
      <c r="L184" s="24"/>
      <c r="M184" s="24"/>
      <c r="N184" s="24"/>
      <c r="O184" s="24"/>
      <c r="P184" s="24"/>
      <c r="Q184" s="24"/>
    </row>
    <row r="185" spans="1:17" ht="16.2"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ht="16.2" x14ac:dyDescent="0.35">
      <c r="A186" s="20">
        <v>27271</v>
      </c>
      <c r="B186" s="21">
        <v>9.74</v>
      </c>
      <c r="C186" s="21">
        <v>1.3</v>
      </c>
      <c r="D186" s="21"/>
      <c r="E186" s="21"/>
      <c r="F186" s="21"/>
      <c r="G186" s="21"/>
      <c r="H186" s="21"/>
      <c r="I186" s="21"/>
      <c r="J186" s="24"/>
      <c r="K186" s="24"/>
      <c r="L186" s="24"/>
      <c r="M186" s="24"/>
      <c r="N186" s="24"/>
      <c r="O186" s="24"/>
      <c r="P186" s="24"/>
      <c r="Q186" s="24"/>
    </row>
    <row r="187" spans="1:17" ht="16.2"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ht="16.2" x14ac:dyDescent="0.35">
      <c r="A188" s="20">
        <v>27285</v>
      </c>
      <c r="B188" s="21">
        <v>9.92</v>
      </c>
      <c r="C188" s="21">
        <v>1.4</v>
      </c>
      <c r="D188" s="21"/>
      <c r="E188" s="21"/>
      <c r="F188" s="21"/>
      <c r="G188" s="21"/>
      <c r="H188" s="21"/>
      <c r="I188" s="21"/>
      <c r="J188" s="24"/>
      <c r="K188" s="24"/>
      <c r="L188" s="24"/>
      <c r="M188" s="24"/>
      <c r="N188" s="24"/>
      <c r="O188" s="24"/>
      <c r="P188" s="24"/>
      <c r="Q188" s="24"/>
    </row>
    <row r="189" spans="1:17" ht="16.2" x14ac:dyDescent="0.35">
      <c r="A189" s="20">
        <v>27292</v>
      </c>
      <c r="B189" s="21">
        <v>10</v>
      </c>
      <c r="C189" s="21">
        <v>1.4</v>
      </c>
      <c r="D189" s="21"/>
      <c r="E189" s="21"/>
      <c r="F189" s="21"/>
      <c r="G189" s="21"/>
      <c r="H189" s="21"/>
      <c r="I189" s="21"/>
      <c r="J189" s="24"/>
      <c r="K189" s="24"/>
      <c r="L189" s="24"/>
      <c r="M189" s="24"/>
      <c r="N189" s="24"/>
      <c r="O189" s="24"/>
      <c r="P189" s="24"/>
      <c r="Q189" s="24"/>
    </row>
    <row r="190" spans="1:17" ht="16.2"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ht="16.2" x14ac:dyDescent="0.35">
      <c r="A191" s="20">
        <v>27306</v>
      </c>
      <c r="B191" s="21">
        <v>10.02</v>
      </c>
      <c r="C191" s="21">
        <v>1.5</v>
      </c>
      <c r="D191" s="21"/>
      <c r="E191" s="21"/>
      <c r="F191" s="21"/>
      <c r="G191" s="21"/>
      <c r="H191" s="21"/>
      <c r="I191" s="21"/>
      <c r="J191" s="24"/>
      <c r="K191" s="24"/>
      <c r="L191" s="24"/>
      <c r="M191" s="24"/>
      <c r="N191" s="24"/>
      <c r="O191" s="24"/>
      <c r="P191" s="24"/>
      <c r="Q191" s="24"/>
    </row>
    <row r="192" spans="1:17" ht="16.2"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ht="16.2" x14ac:dyDescent="0.35">
      <c r="A193" s="20">
        <v>27320</v>
      </c>
      <c r="B193" s="21">
        <v>9.99</v>
      </c>
      <c r="C193" s="21">
        <v>1.5</v>
      </c>
      <c r="D193" s="21"/>
      <c r="E193" s="21"/>
      <c r="F193" s="21"/>
      <c r="G193" s="21"/>
      <c r="H193" s="21"/>
      <c r="I193" s="21"/>
      <c r="J193" s="24"/>
      <c r="K193" s="24"/>
      <c r="L193" s="24"/>
      <c r="M193" s="24"/>
      <c r="N193" s="24"/>
      <c r="O193" s="24"/>
      <c r="P193" s="24"/>
      <c r="Q193" s="24"/>
    </row>
    <row r="194" spans="1:17" ht="16.2" x14ac:dyDescent="0.35">
      <c r="A194" s="20">
        <v>27327</v>
      </c>
      <c r="B194" s="21">
        <v>9.94</v>
      </c>
      <c r="C194" s="21">
        <v>1.5</v>
      </c>
      <c r="D194" s="21"/>
      <c r="E194" s="21"/>
      <c r="F194" s="21"/>
      <c r="G194" s="21"/>
      <c r="H194" s="21"/>
      <c r="I194" s="21"/>
      <c r="J194" s="24"/>
      <c r="K194" s="24"/>
      <c r="L194" s="24"/>
      <c r="M194" s="24"/>
      <c r="N194" s="24"/>
      <c r="O194" s="24"/>
      <c r="P194" s="24"/>
      <c r="Q194" s="24"/>
    </row>
    <row r="195" spans="1:17" ht="16.2"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ht="16.2" x14ac:dyDescent="0.35">
      <c r="A196" s="20">
        <v>27341</v>
      </c>
      <c r="B196" s="21">
        <v>9.81</v>
      </c>
      <c r="C196" s="21">
        <v>1.4</v>
      </c>
      <c r="D196" s="21"/>
      <c r="E196" s="21"/>
      <c r="F196" s="21"/>
      <c r="G196" s="21"/>
      <c r="H196" s="21"/>
      <c r="I196" s="21"/>
      <c r="J196" s="24"/>
      <c r="K196" s="24"/>
      <c r="L196" s="24"/>
      <c r="M196" s="24"/>
      <c r="N196" s="24"/>
      <c r="O196" s="24"/>
      <c r="P196" s="24"/>
      <c r="Q196" s="24"/>
    </row>
    <row r="197" spans="1:17" ht="16.2" x14ac:dyDescent="0.35">
      <c r="A197" s="20">
        <v>27348</v>
      </c>
      <c r="B197" s="21">
        <v>9.81</v>
      </c>
      <c r="C197" s="21">
        <v>1.3</v>
      </c>
      <c r="D197" s="21"/>
      <c r="E197" s="21"/>
      <c r="F197" s="21"/>
      <c r="G197" s="21"/>
      <c r="H197" s="21"/>
      <c r="I197" s="21"/>
      <c r="J197" s="24"/>
      <c r="K197" s="24"/>
      <c r="L197" s="24"/>
      <c r="M197" s="24"/>
      <c r="N197" s="24"/>
      <c r="O197" s="24"/>
      <c r="P197" s="24"/>
      <c r="Q197" s="24"/>
    </row>
    <row r="198" spans="1:17" ht="16.2" x14ac:dyDescent="0.35">
      <c r="A198" s="20">
        <v>27355</v>
      </c>
      <c r="B198" s="21">
        <v>9.73</v>
      </c>
      <c r="C198" s="21">
        <v>1.3</v>
      </c>
      <c r="D198" s="21"/>
      <c r="E198" s="21"/>
      <c r="F198" s="21"/>
      <c r="G198" s="21"/>
      <c r="H198" s="21"/>
      <c r="I198" s="21"/>
      <c r="J198" s="24"/>
      <c r="K198" s="24"/>
      <c r="L198" s="24"/>
      <c r="M198" s="24"/>
      <c r="N198" s="24"/>
      <c r="O198" s="24"/>
      <c r="P198" s="24"/>
      <c r="Q198" s="24"/>
    </row>
    <row r="199" spans="1:17" ht="16.2"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ht="16.2" x14ac:dyDescent="0.35">
      <c r="A200" s="20">
        <v>27369</v>
      </c>
      <c r="B200" s="21">
        <v>9.69</v>
      </c>
      <c r="C200" s="21">
        <v>1.3</v>
      </c>
      <c r="D200" s="21"/>
      <c r="E200" s="21"/>
      <c r="F200" s="21"/>
      <c r="G200" s="21"/>
      <c r="H200" s="21"/>
      <c r="I200" s="21"/>
      <c r="J200" s="24"/>
      <c r="K200" s="24"/>
      <c r="L200" s="24"/>
      <c r="M200" s="24"/>
      <c r="N200" s="24"/>
      <c r="O200" s="24"/>
      <c r="P200" s="24"/>
      <c r="Q200" s="24"/>
    </row>
    <row r="201" spans="1:17" ht="16.2"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ht="16.2" x14ac:dyDescent="0.35">
      <c r="A202" s="20">
        <v>27383</v>
      </c>
      <c r="B202" s="21">
        <v>9.58</v>
      </c>
      <c r="C202" s="21">
        <v>1.3</v>
      </c>
      <c r="D202" s="21"/>
      <c r="E202" s="21"/>
      <c r="F202" s="21"/>
      <c r="G202" s="21"/>
      <c r="H202" s="21"/>
      <c r="I202" s="21"/>
      <c r="J202" s="24"/>
      <c r="K202" s="24"/>
      <c r="L202" s="24"/>
      <c r="M202" s="24"/>
      <c r="N202" s="24"/>
      <c r="O202" s="24"/>
      <c r="P202" s="24"/>
      <c r="Q202" s="24"/>
    </row>
    <row r="203" spans="1:17" ht="16.2" x14ac:dyDescent="0.35">
      <c r="A203" s="20">
        <v>27390</v>
      </c>
      <c r="B203" s="21">
        <v>9.56</v>
      </c>
      <c r="C203" s="21">
        <v>1.2</v>
      </c>
      <c r="D203" s="21"/>
      <c r="E203" s="21"/>
      <c r="F203" s="21"/>
      <c r="G203" s="21"/>
      <c r="H203" s="21"/>
      <c r="I203" s="21"/>
      <c r="J203" s="24"/>
      <c r="K203" s="24"/>
      <c r="L203" s="24"/>
      <c r="M203" s="24"/>
      <c r="N203" s="24"/>
      <c r="O203" s="24"/>
      <c r="P203" s="24"/>
      <c r="Q203" s="24"/>
    </row>
    <row r="204" spans="1:17" ht="16.2" x14ac:dyDescent="0.35">
      <c r="A204" s="20">
        <v>27397</v>
      </c>
      <c r="B204" s="21">
        <v>9.6</v>
      </c>
      <c r="C204" s="21">
        <v>1.2</v>
      </c>
      <c r="D204" s="21"/>
      <c r="E204" s="21"/>
      <c r="F204" s="21"/>
      <c r="G204" s="21"/>
      <c r="H204" s="21"/>
      <c r="I204" s="21"/>
      <c r="J204" s="24"/>
      <c r="K204" s="24"/>
      <c r="L204" s="24"/>
      <c r="M204" s="24"/>
      <c r="N204" s="24"/>
      <c r="O204" s="24"/>
      <c r="P204" s="24"/>
      <c r="Q204" s="24"/>
    </row>
    <row r="205" spans="1:17" ht="16.2" x14ac:dyDescent="0.35">
      <c r="A205" s="20">
        <v>27404</v>
      </c>
      <c r="B205" s="21">
        <v>9.49</v>
      </c>
      <c r="C205" s="21">
        <v>1.2</v>
      </c>
      <c r="D205" s="21"/>
      <c r="E205" s="21"/>
      <c r="F205" s="21"/>
      <c r="G205" s="21"/>
      <c r="H205" s="21"/>
      <c r="I205" s="21"/>
      <c r="J205" s="24"/>
      <c r="K205" s="24"/>
      <c r="L205" s="24"/>
      <c r="M205" s="24"/>
      <c r="N205" s="24"/>
      <c r="O205" s="24"/>
      <c r="P205" s="24"/>
      <c r="Q205" s="24"/>
    </row>
    <row r="206" spans="1:17" ht="16.2" x14ac:dyDescent="0.35">
      <c r="A206" s="20">
        <v>27411</v>
      </c>
      <c r="B206" s="21">
        <v>9.43</v>
      </c>
      <c r="C206" s="21">
        <v>1.2</v>
      </c>
      <c r="D206" s="21"/>
      <c r="E206" s="21"/>
      <c r="F206" s="21"/>
      <c r="G206" s="21"/>
      <c r="H206" s="21"/>
      <c r="I206" s="21"/>
      <c r="J206" s="24"/>
      <c r="K206" s="24"/>
      <c r="L206" s="24"/>
      <c r="M206" s="24"/>
      <c r="N206" s="24"/>
      <c r="O206" s="24"/>
      <c r="P206" s="24"/>
      <c r="Q206" s="24"/>
    </row>
    <row r="207" spans="1:17" ht="16.2" x14ac:dyDescent="0.35">
      <c r="A207" s="20">
        <v>27418</v>
      </c>
      <c r="B207" s="21">
        <v>9.35</v>
      </c>
      <c r="C207" s="21">
        <v>1.3</v>
      </c>
      <c r="D207" s="21"/>
      <c r="E207" s="21"/>
      <c r="F207" s="21"/>
      <c r="G207" s="21"/>
      <c r="H207" s="21"/>
      <c r="I207" s="21"/>
      <c r="J207" s="24"/>
      <c r="K207" s="24"/>
      <c r="L207" s="24"/>
      <c r="M207" s="24"/>
      <c r="N207" s="24"/>
      <c r="O207" s="24"/>
      <c r="P207" s="24"/>
      <c r="Q207" s="24"/>
    </row>
    <row r="208" spans="1:17" ht="16.2"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ht="16.2"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ht="16.2"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ht="16.2" x14ac:dyDescent="0.35">
      <c r="A211" s="20">
        <v>27446</v>
      </c>
      <c r="B211" s="21">
        <v>9.07</v>
      </c>
      <c r="C211" s="21">
        <v>1.2</v>
      </c>
      <c r="D211" s="21"/>
      <c r="E211" s="21"/>
      <c r="F211" s="21"/>
      <c r="G211" s="21"/>
      <c r="H211" s="21"/>
      <c r="I211" s="21"/>
      <c r="J211" s="24"/>
      <c r="K211" s="24"/>
      <c r="L211" s="24"/>
      <c r="M211" s="24"/>
      <c r="N211" s="24"/>
      <c r="O211" s="24"/>
      <c r="P211" s="24"/>
      <c r="Q211" s="24"/>
    </row>
    <row r="212" spans="1:17" ht="16.2"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ht="16.2"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ht="16.2"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ht="16.2"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ht="16.2"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ht="16.2" x14ac:dyDescent="0.35">
      <c r="A217" s="20">
        <v>27488</v>
      </c>
      <c r="B217" s="21">
        <v>8.83</v>
      </c>
      <c r="C217" s="21">
        <v>1</v>
      </c>
      <c r="D217" s="21"/>
      <c r="E217" s="21"/>
      <c r="F217" s="21"/>
      <c r="G217" s="21"/>
      <c r="H217" s="21"/>
      <c r="I217" s="21"/>
      <c r="J217" s="24"/>
      <c r="K217" s="24"/>
      <c r="L217" s="24"/>
      <c r="M217" s="24"/>
      <c r="N217" s="24"/>
      <c r="O217" s="24"/>
      <c r="P217" s="24"/>
      <c r="Q217" s="24"/>
    </row>
    <row r="218" spans="1:17" ht="16.2" x14ac:dyDescent="0.35">
      <c r="A218" s="20">
        <v>27495</v>
      </c>
      <c r="B218" s="21">
        <v>8.81</v>
      </c>
      <c r="C218" s="21">
        <v>1</v>
      </c>
      <c r="D218" s="21"/>
      <c r="E218" s="21"/>
      <c r="F218" s="21"/>
      <c r="G218" s="21"/>
      <c r="H218" s="21"/>
      <c r="I218" s="21"/>
      <c r="J218" s="24"/>
      <c r="K218" s="24"/>
      <c r="L218" s="24"/>
      <c r="M218" s="24"/>
      <c r="N218" s="24"/>
      <c r="O218" s="24"/>
      <c r="P218" s="24"/>
      <c r="Q218" s="24"/>
    </row>
    <row r="219" spans="1:17" ht="16.2"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ht="16.2" x14ac:dyDescent="0.35">
      <c r="A220" s="20">
        <v>27509</v>
      </c>
      <c r="B220" s="21">
        <v>8.84</v>
      </c>
      <c r="C220" s="21">
        <v>1</v>
      </c>
      <c r="D220" s="21"/>
      <c r="E220" s="21"/>
      <c r="F220" s="21"/>
      <c r="G220" s="21"/>
      <c r="H220" s="21"/>
      <c r="I220" s="21"/>
      <c r="J220" s="24"/>
      <c r="K220" s="24"/>
      <c r="L220" s="24"/>
      <c r="M220" s="24"/>
      <c r="N220" s="24"/>
      <c r="O220" s="24"/>
      <c r="P220" s="24"/>
      <c r="Q220" s="24"/>
    </row>
    <row r="221" spans="1:17" ht="16.2"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ht="16.2"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ht="16.2"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ht="16.2"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ht="16.2"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ht="16.2" x14ac:dyDescent="0.35">
      <c r="A226" s="20">
        <v>27551</v>
      </c>
      <c r="B226" s="21">
        <v>8.89</v>
      </c>
      <c r="C226" s="21">
        <v>1</v>
      </c>
      <c r="D226" s="21"/>
      <c r="E226" s="21"/>
      <c r="F226" s="21"/>
      <c r="G226" s="21"/>
      <c r="H226" s="21"/>
      <c r="I226" s="21"/>
      <c r="J226" s="24"/>
      <c r="K226" s="24"/>
      <c r="L226" s="24"/>
      <c r="M226" s="24"/>
      <c r="N226" s="24"/>
      <c r="O226" s="24"/>
      <c r="P226" s="24"/>
      <c r="Q226" s="24"/>
    </row>
    <row r="227" spans="1:17" ht="16.2" x14ac:dyDescent="0.35">
      <c r="A227" s="20">
        <v>27558</v>
      </c>
      <c r="B227" s="21">
        <v>8.9</v>
      </c>
      <c r="C227" s="21">
        <v>1</v>
      </c>
      <c r="D227" s="21"/>
      <c r="E227" s="21"/>
      <c r="F227" s="21"/>
      <c r="G227" s="21"/>
      <c r="H227" s="21"/>
      <c r="I227" s="21"/>
      <c r="J227" s="24"/>
      <c r="K227" s="24"/>
      <c r="L227" s="24"/>
      <c r="M227" s="24"/>
      <c r="N227" s="24"/>
      <c r="O227" s="24"/>
      <c r="P227" s="24"/>
      <c r="Q227" s="24"/>
    </row>
    <row r="228" spans="1:17" ht="16.2"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ht="16.2"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ht="16.2"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ht="16.2"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ht="16.2"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ht="16.2"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ht="16.2"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ht="16.2"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ht="16.2"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ht="16.2"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ht="16.2"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ht="16.2"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ht="16.2"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ht="16.2" x14ac:dyDescent="0.35">
      <c r="A241" s="20">
        <v>27656</v>
      </c>
      <c r="B241" s="21">
        <v>9.14</v>
      </c>
      <c r="C241" s="21">
        <v>1.2</v>
      </c>
      <c r="D241" s="21"/>
      <c r="E241" s="21"/>
      <c r="F241" s="21"/>
      <c r="G241" s="21"/>
      <c r="H241" s="21"/>
      <c r="I241" s="21"/>
      <c r="J241" s="24"/>
      <c r="K241" s="24"/>
      <c r="L241" s="24"/>
      <c r="M241" s="24"/>
      <c r="N241" s="24"/>
      <c r="O241" s="24"/>
      <c r="P241" s="24"/>
      <c r="Q241" s="24"/>
    </row>
    <row r="242" spans="1:17" ht="16.2"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ht="16.2"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ht="16.2"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ht="16.2"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ht="16.2"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ht="16.2" x14ac:dyDescent="0.35">
      <c r="A247" s="20">
        <v>27698</v>
      </c>
      <c r="B247" s="21">
        <v>9.24</v>
      </c>
      <c r="C247" s="21">
        <v>1.2</v>
      </c>
      <c r="D247" s="21"/>
      <c r="E247" s="21"/>
      <c r="F247" s="21"/>
      <c r="G247" s="21"/>
      <c r="H247" s="21"/>
      <c r="I247" s="21"/>
      <c r="J247" s="24"/>
      <c r="K247" s="24"/>
      <c r="L247" s="24"/>
      <c r="M247" s="24"/>
      <c r="N247" s="24"/>
      <c r="O247" s="24"/>
      <c r="P247" s="24"/>
      <c r="Q247" s="24"/>
    </row>
    <row r="248" spans="1:17" ht="16.2" x14ac:dyDescent="0.35">
      <c r="A248" s="20">
        <v>27705</v>
      </c>
      <c r="B248" s="21">
        <v>9.19</v>
      </c>
      <c r="C248" s="21">
        <v>1.2</v>
      </c>
      <c r="D248" s="21"/>
      <c r="E248" s="21"/>
      <c r="F248" s="21"/>
      <c r="G248" s="21"/>
      <c r="H248" s="21"/>
      <c r="I248" s="21"/>
      <c r="J248" s="24"/>
      <c r="K248" s="24"/>
      <c r="L248" s="24"/>
      <c r="M248" s="24"/>
      <c r="N248" s="24"/>
      <c r="O248" s="24"/>
      <c r="P248" s="24"/>
      <c r="Q248" s="24"/>
    </row>
    <row r="249" spans="1:17" ht="16.2"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ht="16.2"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ht="16.2"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ht="16.2"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ht="16.2"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ht="16.2"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ht="16.2"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ht="16.2"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ht="16.2"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ht="16.2"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ht="16.2"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ht="16.2" x14ac:dyDescent="0.35">
      <c r="A260" s="20">
        <v>27789</v>
      </c>
      <c r="B260" s="21">
        <v>8.9</v>
      </c>
      <c r="C260" s="21">
        <v>1</v>
      </c>
      <c r="D260" s="21"/>
      <c r="E260" s="21"/>
      <c r="F260" s="21"/>
      <c r="G260" s="21"/>
      <c r="H260" s="21"/>
      <c r="I260" s="21"/>
      <c r="J260" s="24"/>
      <c r="K260" s="24"/>
      <c r="L260" s="24"/>
      <c r="M260" s="24"/>
      <c r="N260" s="24"/>
      <c r="O260" s="24"/>
      <c r="P260" s="24"/>
      <c r="Q260" s="24"/>
    </row>
    <row r="261" spans="1:17" ht="16.2" x14ac:dyDescent="0.35">
      <c r="A261" s="20">
        <v>27796</v>
      </c>
      <c r="B261" s="21">
        <v>8.86</v>
      </c>
      <c r="C261" s="21">
        <v>0.9</v>
      </c>
      <c r="D261" s="21"/>
      <c r="E261" s="21"/>
      <c r="F261" s="21"/>
      <c r="G261" s="21"/>
      <c r="H261" s="21"/>
      <c r="I261" s="21"/>
      <c r="J261" s="24"/>
      <c r="K261" s="24"/>
      <c r="L261" s="24"/>
      <c r="M261" s="24"/>
      <c r="N261" s="24"/>
      <c r="O261" s="24"/>
      <c r="P261" s="24"/>
      <c r="Q261" s="24"/>
    </row>
    <row r="262" spans="1:17" ht="16.2" x14ac:dyDescent="0.35">
      <c r="A262" s="20">
        <v>27803</v>
      </c>
      <c r="B262" s="21">
        <v>8.83</v>
      </c>
      <c r="C262" s="21">
        <v>0.9</v>
      </c>
      <c r="D262" s="21"/>
      <c r="E262" s="21"/>
      <c r="F262" s="21"/>
      <c r="G262" s="21"/>
      <c r="H262" s="21"/>
      <c r="I262" s="21"/>
      <c r="J262" s="24"/>
      <c r="K262" s="24"/>
      <c r="L262" s="24"/>
      <c r="M262" s="24"/>
      <c r="N262" s="24"/>
      <c r="O262" s="24"/>
      <c r="P262" s="24"/>
      <c r="Q262" s="24"/>
    </row>
    <row r="263" spans="1:17" ht="16.2" x14ac:dyDescent="0.35">
      <c r="A263" s="20">
        <v>27810</v>
      </c>
      <c r="B263" s="21">
        <v>8.81</v>
      </c>
      <c r="C263" s="21">
        <v>0.9</v>
      </c>
      <c r="D263" s="21"/>
      <c r="E263" s="21"/>
      <c r="F263" s="21"/>
      <c r="G263" s="21"/>
      <c r="H263" s="21"/>
      <c r="I263" s="21"/>
      <c r="J263" s="24"/>
      <c r="K263" s="24"/>
      <c r="L263" s="24"/>
      <c r="M263" s="24"/>
      <c r="N263" s="24"/>
      <c r="O263" s="24"/>
      <c r="P263" s="24"/>
      <c r="Q263" s="24"/>
    </row>
    <row r="264" spans="1:17" ht="16.2"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ht="16.2" x14ac:dyDescent="0.35">
      <c r="A265" s="20">
        <v>27824</v>
      </c>
      <c r="B265" s="21">
        <v>8.77</v>
      </c>
      <c r="C265" s="21">
        <v>1.3</v>
      </c>
      <c r="D265" s="21"/>
      <c r="E265" s="21"/>
      <c r="F265" s="21"/>
      <c r="G265" s="21"/>
      <c r="H265" s="21"/>
      <c r="I265" s="21"/>
      <c r="J265" s="24"/>
      <c r="K265" s="24"/>
      <c r="L265" s="24"/>
      <c r="M265" s="24"/>
      <c r="N265" s="24"/>
      <c r="O265" s="24"/>
      <c r="P265" s="24"/>
      <c r="Q265" s="24"/>
    </row>
    <row r="266" spans="1:17" ht="16.2" x14ac:dyDescent="0.35">
      <c r="A266" s="20">
        <v>27831</v>
      </c>
      <c r="B266" s="21">
        <v>8.75</v>
      </c>
      <c r="C266" s="21">
        <v>1.3</v>
      </c>
      <c r="D266" s="21"/>
      <c r="E266" s="21"/>
      <c r="F266" s="21"/>
      <c r="G266" s="21"/>
      <c r="H266" s="21"/>
      <c r="I266" s="21"/>
      <c r="J266" s="24"/>
      <c r="K266" s="24"/>
      <c r="L266" s="24"/>
      <c r="M266" s="24"/>
      <c r="N266" s="24"/>
      <c r="O266" s="24"/>
      <c r="P266" s="24"/>
      <c r="Q266" s="24"/>
    </row>
    <row r="267" spans="1:17" ht="16.2" x14ac:dyDescent="0.35">
      <c r="A267" s="20">
        <v>27838</v>
      </c>
      <c r="B267" s="21">
        <v>8.75</v>
      </c>
      <c r="C267" s="21">
        <v>1.3</v>
      </c>
      <c r="D267" s="21"/>
      <c r="E267" s="21"/>
      <c r="F267" s="21"/>
      <c r="G267" s="21"/>
      <c r="H267" s="21"/>
      <c r="I267" s="21"/>
      <c r="J267" s="24"/>
      <c r="K267" s="24"/>
      <c r="L267" s="24"/>
      <c r="M267" s="24"/>
      <c r="N267" s="24"/>
      <c r="O267" s="24"/>
      <c r="P267" s="24"/>
      <c r="Q267" s="24"/>
    </row>
    <row r="268" spans="1:17" ht="16.2" x14ac:dyDescent="0.35">
      <c r="A268" s="20">
        <v>27845</v>
      </c>
      <c r="B268" s="21">
        <v>8.75</v>
      </c>
      <c r="C268" s="21">
        <v>1.3</v>
      </c>
      <c r="D268" s="21"/>
      <c r="E268" s="21"/>
      <c r="F268" s="21"/>
      <c r="G268" s="21"/>
      <c r="H268" s="21"/>
      <c r="I268" s="21"/>
      <c r="J268" s="24"/>
      <c r="K268" s="24"/>
      <c r="L268" s="24"/>
      <c r="M268" s="24"/>
      <c r="N268" s="24"/>
      <c r="O268" s="24"/>
      <c r="P268" s="24"/>
      <c r="Q268" s="24"/>
    </row>
    <row r="269" spans="1:17" ht="16.2"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ht="16.2"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ht="16.2" x14ac:dyDescent="0.35">
      <c r="A271" s="20">
        <v>27866</v>
      </c>
      <c r="B271" s="21">
        <v>8.75</v>
      </c>
      <c r="C271" s="21">
        <v>1.3</v>
      </c>
      <c r="D271" s="21"/>
      <c r="E271" s="21"/>
      <c r="F271" s="21"/>
      <c r="G271" s="21"/>
      <c r="H271" s="21"/>
      <c r="I271" s="21"/>
      <c r="J271" s="24"/>
      <c r="K271" s="24"/>
      <c r="L271" s="24"/>
      <c r="M271" s="24"/>
      <c r="N271" s="24"/>
      <c r="O271" s="24"/>
      <c r="P271" s="24"/>
      <c r="Q271" s="24"/>
    </row>
    <row r="272" spans="1:17" ht="16.2" x14ac:dyDescent="0.35">
      <c r="A272" s="20">
        <v>27873</v>
      </c>
      <c r="B272" s="21">
        <v>8.75</v>
      </c>
      <c r="C272" s="21">
        <v>1.3</v>
      </c>
      <c r="D272" s="21"/>
      <c r="E272" s="21"/>
      <c r="F272" s="21"/>
      <c r="G272" s="21"/>
      <c r="H272" s="21"/>
      <c r="I272" s="21"/>
      <c r="J272" s="24"/>
      <c r="K272" s="24"/>
      <c r="L272" s="24"/>
      <c r="M272" s="24"/>
      <c r="N272" s="24"/>
      <c r="O272" s="24"/>
      <c r="P272" s="24"/>
      <c r="Q272" s="24"/>
    </row>
    <row r="273" spans="1:17" ht="16.2" x14ac:dyDescent="0.35">
      <c r="A273" s="20">
        <v>27880</v>
      </c>
      <c r="B273" s="21">
        <v>8.75</v>
      </c>
      <c r="C273" s="21">
        <v>1.3</v>
      </c>
      <c r="D273" s="21"/>
      <c r="E273" s="21"/>
      <c r="F273" s="21"/>
      <c r="G273" s="21"/>
      <c r="H273" s="21"/>
      <c r="I273" s="21"/>
      <c r="J273" s="24"/>
      <c r="K273" s="24"/>
      <c r="L273" s="24"/>
      <c r="M273" s="24"/>
      <c r="N273" s="24"/>
      <c r="O273" s="24"/>
      <c r="P273" s="24"/>
      <c r="Q273" s="24"/>
    </row>
    <row r="274" spans="1:17" ht="16.2" x14ac:dyDescent="0.35">
      <c r="A274" s="20">
        <v>27887</v>
      </c>
      <c r="B274" s="21">
        <v>8.75</v>
      </c>
      <c r="C274" s="21">
        <v>1.3</v>
      </c>
      <c r="D274" s="21"/>
      <c r="E274" s="21"/>
      <c r="F274" s="21"/>
      <c r="G274" s="21"/>
      <c r="H274" s="21"/>
      <c r="I274" s="21"/>
      <c r="J274" s="24"/>
      <c r="K274" s="24"/>
      <c r="L274" s="24"/>
      <c r="M274" s="24"/>
      <c r="N274" s="24"/>
      <c r="O274" s="24"/>
      <c r="P274" s="24"/>
      <c r="Q274" s="24"/>
    </row>
    <row r="275" spans="1:17" ht="16.2" x14ac:dyDescent="0.35">
      <c r="A275" s="20">
        <v>27894</v>
      </c>
      <c r="B275" s="21">
        <v>8.75</v>
      </c>
      <c r="C275" s="21">
        <v>1.3</v>
      </c>
      <c r="D275" s="21"/>
      <c r="E275" s="21"/>
      <c r="F275" s="21"/>
      <c r="G275" s="21"/>
      <c r="H275" s="21"/>
      <c r="I275" s="21"/>
      <c r="J275" s="24"/>
      <c r="K275" s="24"/>
      <c r="L275" s="24"/>
      <c r="M275" s="24"/>
      <c r="N275" s="24"/>
      <c r="O275" s="24"/>
      <c r="P275" s="24"/>
      <c r="Q275" s="24"/>
    </row>
    <row r="276" spans="1:17" ht="16.2"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ht="16.2"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ht="16.2"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ht="16.2" x14ac:dyDescent="0.35">
      <c r="A279" s="20">
        <v>27922</v>
      </c>
      <c r="B279" s="21">
        <v>8.83</v>
      </c>
      <c r="C279" s="21">
        <v>1.3</v>
      </c>
      <c r="D279" s="21"/>
      <c r="E279" s="21"/>
      <c r="F279" s="21"/>
      <c r="G279" s="21"/>
      <c r="H279" s="21"/>
      <c r="I279" s="21"/>
      <c r="J279" s="24"/>
      <c r="K279" s="24"/>
      <c r="L279" s="24"/>
      <c r="M279" s="24"/>
      <c r="N279" s="24"/>
      <c r="O279" s="24"/>
      <c r="P279" s="24"/>
      <c r="Q279" s="24"/>
    </row>
    <row r="280" spans="1:17" ht="16.2"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ht="16.2" x14ac:dyDescent="0.35">
      <c r="A281" s="20">
        <v>27936</v>
      </c>
      <c r="B281" s="21">
        <v>8.9</v>
      </c>
      <c r="C281" s="21">
        <v>1.3</v>
      </c>
      <c r="D281" s="21"/>
      <c r="E281" s="21"/>
      <c r="F281" s="21"/>
      <c r="G281" s="21"/>
      <c r="H281" s="21"/>
      <c r="I281" s="21"/>
      <c r="J281" s="24"/>
      <c r="K281" s="24"/>
      <c r="L281" s="24"/>
      <c r="M281" s="24"/>
      <c r="N281" s="24"/>
      <c r="O281" s="24"/>
      <c r="P281" s="24"/>
      <c r="Q281" s="24"/>
    </row>
    <row r="282" spans="1:17" ht="16.2" x14ac:dyDescent="0.35">
      <c r="A282" s="20">
        <v>27943</v>
      </c>
      <c r="B282" s="21">
        <v>8.93</v>
      </c>
      <c r="C282" s="21">
        <v>1.3</v>
      </c>
      <c r="D282" s="21"/>
      <c r="E282" s="21"/>
      <c r="F282" s="21"/>
      <c r="G282" s="21"/>
      <c r="H282" s="21"/>
      <c r="I282" s="21"/>
      <c r="J282" s="24"/>
      <c r="K282" s="24"/>
      <c r="L282" s="24"/>
      <c r="M282" s="24"/>
      <c r="N282" s="24"/>
      <c r="O282" s="24"/>
      <c r="P282" s="24"/>
      <c r="Q282" s="24"/>
    </row>
    <row r="283" spans="1:17" ht="16.2" x14ac:dyDescent="0.35">
      <c r="A283" s="20">
        <v>27950</v>
      </c>
      <c r="B283" s="21">
        <v>8.93</v>
      </c>
      <c r="C283" s="21">
        <v>1.2</v>
      </c>
      <c r="D283" s="21"/>
      <c r="E283" s="21"/>
      <c r="F283" s="21"/>
      <c r="G283" s="21"/>
      <c r="H283" s="21"/>
      <c r="I283" s="21"/>
      <c r="J283" s="24"/>
      <c r="K283" s="24"/>
      <c r="L283" s="24"/>
      <c r="M283" s="24"/>
      <c r="N283" s="24"/>
      <c r="O283" s="24"/>
      <c r="P283" s="24"/>
      <c r="Q283" s="24"/>
    </row>
    <row r="284" spans="1:17" ht="16.2" x14ac:dyDescent="0.35">
      <c r="A284" s="20">
        <v>27957</v>
      </c>
      <c r="B284" s="21">
        <v>8.93</v>
      </c>
      <c r="C284" s="21">
        <v>1.2</v>
      </c>
      <c r="D284" s="21"/>
      <c r="E284" s="21"/>
      <c r="F284" s="21"/>
      <c r="G284" s="21"/>
      <c r="H284" s="21"/>
      <c r="I284" s="21"/>
      <c r="J284" s="24"/>
      <c r="K284" s="24"/>
      <c r="L284" s="24"/>
      <c r="M284" s="24"/>
      <c r="N284" s="24"/>
      <c r="O284" s="24"/>
      <c r="P284" s="24"/>
      <c r="Q284" s="24"/>
    </row>
    <row r="285" spans="1:17" ht="16.2"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ht="16.2" x14ac:dyDescent="0.35">
      <c r="A286" s="20">
        <v>27971</v>
      </c>
      <c r="B286" s="21">
        <v>8.98</v>
      </c>
      <c r="C286" s="21">
        <v>1.2</v>
      </c>
      <c r="D286" s="21"/>
      <c r="E286" s="21"/>
      <c r="F286" s="21"/>
      <c r="G286" s="21"/>
      <c r="H286" s="21"/>
      <c r="I286" s="21"/>
      <c r="J286" s="24"/>
      <c r="K286" s="24"/>
      <c r="L286" s="24"/>
      <c r="M286" s="24"/>
      <c r="N286" s="24"/>
      <c r="O286" s="24"/>
      <c r="P286" s="24"/>
      <c r="Q286" s="24"/>
    </row>
    <row r="287" spans="1:17" ht="16.2" x14ac:dyDescent="0.35">
      <c r="A287" s="20">
        <v>27978</v>
      </c>
      <c r="B287" s="21">
        <v>9</v>
      </c>
      <c r="C287" s="21">
        <v>1.2</v>
      </c>
      <c r="D287" s="21"/>
      <c r="E287" s="21"/>
      <c r="F287" s="21"/>
      <c r="G287" s="21"/>
      <c r="H287" s="21"/>
      <c r="I287" s="21"/>
      <c r="J287" s="24"/>
      <c r="K287" s="24"/>
      <c r="L287" s="24"/>
      <c r="M287" s="24"/>
      <c r="N287" s="24"/>
      <c r="O287" s="24"/>
      <c r="P287" s="24"/>
      <c r="Q287" s="24"/>
    </row>
    <row r="288" spans="1:17" ht="16.2" x14ac:dyDescent="0.35">
      <c r="A288" s="20">
        <v>27985</v>
      </c>
      <c r="B288" s="21">
        <v>9</v>
      </c>
      <c r="C288" s="21">
        <v>1.2</v>
      </c>
      <c r="D288" s="21"/>
      <c r="E288" s="21"/>
      <c r="F288" s="21"/>
      <c r="G288" s="21"/>
      <c r="H288" s="21"/>
      <c r="I288" s="21"/>
      <c r="J288" s="24"/>
      <c r="K288" s="24"/>
      <c r="L288" s="24"/>
      <c r="M288" s="24"/>
      <c r="N288" s="24"/>
      <c r="O288" s="24"/>
      <c r="P288" s="24"/>
      <c r="Q288" s="24"/>
    </row>
    <row r="289" spans="1:17" ht="16.2" x14ac:dyDescent="0.35">
      <c r="A289" s="20">
        <v>27992</v>
      </c>
      <c r="B289" s="21">
        <v>9</v>
      </c>
      <c r="C289" s="21">
        <v>1.2</v>
      </c>
      <c r="D289" s="21"/>
      <c r="E289" s="21"/>
      <c r="F289" s="21"/>
      <c r="G289" s="21"/>
      <c r="H289" s="21"/>
      <c r="I289" s="21"/>
      <c r="J289" s="24"/>
      <c r="K289" s="24"/>
      <c r="L289" s="24"/>
      <c r="M289" s="24"/>
      <c r="N289" s="24"/>
      <c r="O289" s="24"/>
      <c r="P289" s="24"/>
      <c r="Q289" s="24"/>
    </row>
    <row r="290" spans="1:17" ht="16.2" x14ac:dyDescent="0.35">
      <c r="A290" s="20">
        <v>27999</v>
      </c>
      <c r="B290" s="21">
        <v>9</v>
      </c>
      <c r="C290" s="21">
        <v>1.2</v>
      </c>
      <c r="D290" s="21"/>
      <c r="E290" s="21"/>
      <c r="F290" s="21"/>
      <c r="G290" s="21"/>
      <c r="H290" s="21"/>
      <c r="I290" s="21"/>
      <c r="J290" s="24"/>
      <c r="K290" s="24"/>
      <c r="L290" s="24"/>
      <c r="M290" s="24"/>
      <c r="N290" s="24"/>
      <c r="O290" s="24"/>
      <c r="P290" s="24"/>
      <c r="Q290" s="24"/>
    </row>
    <row r="291" spans="1:17" ht="16.2" x14ac:dyDescent="0.35">
      <c r="A291" s="20">
        <v>28006</v>
      </c>
      <c r="B291" s="21">
        <v>9</v>
      </c>
      <c r="C291" s="21">
        <v>1.2</v>
      </c>
      <c r="D291" s="21"/>
      <c r="E291" s="21"/>
      <c r="F291" s="21"/>
      <c r="G291" s="21"/>
      <c r="H291" s="21"/>
      <c r="I291" s="21"/>
      <c r="J291" s="24"/>
      <c r="K291" s="24"/>
      <c r="L291" s="24"/>
      <c r="M291" s="24"/>
      <c r="N291" s="24"/>
      <c r="O291" s="24"/>
      <c r="P291" s="24"/>
      <c r="Q291" s="24"/>
    </row>
    <row r="292" spans="1:17" ht="16.2"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ht="16.2"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ht="16.2"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ht="16.2" x14ac:dyDescent="0.35">
      <c r="A295" s="20">
        <v>28034</v>
      </c>
      <c r="B295" s="21">
        <v>8.9</v>
      </c>
      <c r="C295" s="21">
        <v>1.2</v>
      </c>
      <c r="D295" s="21"/>
      <c r="E295" s="21"/>
      <c r="F295" s="21"/>
      <c r="G295" s="21"/>
      <c r="H295" s="21"/>
      <c r="I295" s="21"/>
      <c r="J295" s="24"/>
      <c r="K295" s="24"/>
      <c r="L295" s="24"/>
      <c r="M295" s="24"/>
      <c r="N295" s="24"/>
      <c r="O295" s="24"/>
      <c r="P295" s="24"/>
      <c r="Q295" s="24"/>
    </row>
    <row r="296" spans="1:17" ht="16.2"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ht="16.2"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ht="16.2"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ht="16.2"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ht="16.2" x14ac:dyDescent="0.35">
      <c r="A300" s="20">
        <v>28069</v>
      </c>
      <c r="B300" s="21">
        <v>8.85</v>
      </c>
      <c r="C300" s="21">
        <v>1.3</v>
      </c>
      <c r="D300" s="21"/>
      <c r="E300" s="21"/>
      <c r="F300" s="21"/>
      <c r="G300" s="21"/>
      <c r="H300" s="21"/>
      <c r="I300" s="21"/>
      <c r="J300" s="24"/>
      <c r="K300" s="24"/>
      <c r="L300" s="24"/>
      <c r="M300" s="24"/>
      <c r="N300" s="24"/>
      <c r="O300" s="24"/>
      <c r="P300" s="24"/>
      <c r="Q300" s="24"/>
    </row>
    <row r="301" spans="1:17" ht="16.2"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ht="16.2"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ht="16.2"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ht="16.2"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ht="16.2"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ht="16.2"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ht="16.2"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ht="16.2"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ht="16.2"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ht="16.2"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ht="16.2"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ht="16.2"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ht="16.2"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ht="16.2"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ht="16.2" x14ac:dyDescent="0.35">
      <c r="A315" s="20">
        <v>28174</v>
      </c>
      <c r="B315" s="21">
        <v>8.65</v>
      </c>
      <c r="C315" s="21">
        <v>1.2</v>
      </c>
      <c r="D315" s="21"/>
      <c r="E315" s="21"/>
      <c r="F315" s="21"/>
      <c r="G315" s="21"/>
      <c r="H315" s="21"/>
      <c r="I315" s="21"/>
      <c r="J315" s="24"/>
      <c r="K315" s="24"/>
      <c r="L315" s="24"/>
      <c r="M315" s="24"/>
      <c r="N315" s="24"/>
      <c r="O315" s="24"/>
      <c r="P315" s="24"/>
      <c r="Q315" s="24"/>
    </row>
    <row r="316" spans="1:17" ht="16.2"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ht="16.2" x14ac:dyDescent="0.35">
      <c r="A317" s="20">
        <v>28188</v>
      </c>
      <c r="B317" s="21">
        <v>8.65</v>
      </c>
      <c r="C317" s="21">
        <v>1.2</v>
      </c>
      <c r="D317" s="21"/>
      <c r="E317" s="21"/>
      <c r="F317" s="21"/>
      <c r="G317" s="21"/>
      <c r="H317" s="21"/>
      <c r="I317" s="21"/>
      <c r="J317" s="24"/>
      <c r="K317" s="24"/>
      <c r="L317" s="24"/>
      <c r="M317" s="24"/>
      <c r="N317" s="24"/>
      <c r="O317" s="24"/>
      <c r="P317" s="24"/>
      <c r="Q317" s="24"/>
    </row>
    <row r="318" spans="1:17" ht="16.2"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ht="16.2"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ht="16.2"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ht="16.2"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ht="16.2" x14ac:dyDescent="0.35">
      <c r="A322" s="20">
        <v>28223</v>
      </c>
      <c r="B322" s="21">
        <v>8.75</v>
      </c>
      <c r="C322" s="21">
        <v>1.2</v>
      </c>
      <c r="D322" s="21"/>
      <c r="E322" s="21"/>
      <c r="F322" s="21"/>
      <c r="G322" s="21"/>
      <c r="H322" s="21"/>
      <c r="I322" s="21"/>
      <c r="J322" s="24"/>
      <c r="K322" s="24"/>
      <c r="L322" s="24"/>
      <c r="M322" s="24"/>
      <c r="N322" s="24"/>
      <c r="O322" s="24"/>
      <c r="P322" s="24"/>
      <c r="Q322" s="24"/>
    </row>
    <row r="323" spans="1:17" ht="16.2"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ht="16.2"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ht="16.2"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ht="16.2"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ht="16.2"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ht="16.2"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ht="16.2"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ht="16.2"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ht="16.2"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ht="16.2"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ht="16.2"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ht="16.2"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ht="16.2"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ht="16.2"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ht="16.2"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ht="16.2"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ht="16.2"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ht="16.2"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ht="16.2"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ht="16.2"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ht="16.2"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ht="16.2"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ht="16.2"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ht="16.2"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ht="16.2" x14ac:dyDescent="0.35">
      <c r="A347" s="20">
        <v>28398</v>
      </c>
      <c r="B347" s="21">
        <v>8.9</v>
      </c>
      <c r="C347" s="21">
        <v>1.2</v>
      </c>
      <c r="D347" s="21"/>
      <c r="E347" s="21"/>
      <c r="F347" s="21"/>
      <c r="G347" s="21"/>
      <c r="H347" s="21"/>
      <c r="I347" s="21"/>
      <c r="J347" s="24"/>
      <c r="K347" s="24"/>
      <c r="L347" s="24"/>
      <c r="M347" s="24"/>
      <c r="N347" s="24"/>
      <c r="O347" s="24"/>
      <c r="P347" s="24"/>
      <c r="Q347" s="24"/>
    </row>
    <row r="348" spans="1:17" ht="16.2" x14ac:dyDescent="0.35">
      <c r="A348" s="20">
        <v>28405</v>
      </c>
      <c r="B348" s="21">
        <v>8.93</v>
      </c>
      <c r="C348" s="21">
        <v>1.2</v>
      </c>
      <c r="D348" s="21"/>
      <c r="E348" s="21"/>
      <c r="F348" s="21"/>
      <c r="G348" s="21"/>
      <c r="H348" s="21"/>
      <c r="I348" s="21"/>
      <c r="J348" s="24"/>
      <c r="K348" s="24"/>
      <c r="L348" s="24"/>
      <c r="M348" s="24"/>
      <c r="N348" s="24"/>
      <c r="O348" s="24"/>
      <c r="P348" s="24"/>
      <c r="Q348" s="24"/>
    </row>
    <row r="349" spans="1:17" ht="16.2" x14ac:dyDescent="0.35">
      <c r="A349" s="20">
        <v>28412</v>
      </c>
      <c r="B349" s="21">
        <v>8.93</v>
      </c>
      <c r="C349" s="21">
        <v>1.2</v>
      </c>
      <c r="D349" s="21"/>
      <c r="E349" s="21"/>
      <c r="F349" s="21"/>
      <c r="G349" s="21"/>
      <c r="H349" s="21"/>
      <c r="I349" s="21"/>
      <c r="J349" s="24"/>
      <c r="K349" s="24"/>
      <c r="L349" s="24"/>
      <c r="M349" s="24"/>
      <c r="N349" s="24"/>
      <c r="O349" s="24"/>
      <c r="P349" s="24"/>
      <c r="Q349" s="24"/>
    </row>
    <row r="350" spans="1:17" ht="16.2" x14ac:dyDescent="0.35">
      <c r="A350" s="20">
        <v>28419</v>
      </c>
      <c r="B350" s="21">
        <v>8.93</v>
      </c>
      <c r="C350" s="21">
        <v>1.2</v>
      </c>
      <c r="D350" s="21"/>
      <c r="E350" s="21"/>
      <c r="F350" s="21"/>
      <c r="G350" s="21"/>
      <c r="H350" s="21"/>
      <c r="I350" s="21"/>
      <c r="J350" s="24"/>
      <c r="K350" s="24"/>
      <c r="L350" s="24"/>
      <c r="M350" s="24"/>
      <c r="N350" s="24"/>
      <c r="O350" s="24"/>
      <c r="P350" s="24"/>
      <c r="Q350" s="24"/>
    </row>
    <row r="351" spans="1:17" ht="16.2"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ht="16.2"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ht="16.2"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ht="16.2"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ht="16.2" x14ac:dyDescent="0.35">
      <c r="A355" s="20">
        <v>28454</v>
      </c>
      <c r="B355" s="21">
        <v>8.93</v>
      </c>
      <c r="C355" s="21">
        <v>1.2</v>
      </c>
      <c r="D355" s="21"/>
      <c r="E355" s="21"/>
      <c r="F355" s="21"/>
      <c r="G355" s="21"/>
      <c r="H355" s="21"/>
      <c r="I355" s="21"/>
      <c r="J355" s="24"/>
      <c r="K355" s="24"/>
      <c r="L355" s="24"/>
      <c r="M355" s="24"/>
      <c r="N355" s="24"/>
      <c r="O355" s="24"/>
      <c r="P355" s="24"/>
      <c r="Q355" s="24"/>
    </row>
    <row r="356" spans="1:17" ht="16.2"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ht="16.2"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ht="16.2"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ht="16.2"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ht="16.2" x14ac:dyDescent="0.35">
      <c r="A360" s="20">
        <v>28489</v>
      </c>
      <c r="B360" s="21">
        <v>9</v>
      </c>
      <c r="C360" s="21">
        <v>1.2</v>
      </c>
      <c r="D360" s="21"/>
      <c r="E360" s="21"/>
      <c r="F360" s="21"/>
      <c r="G360" s="21"/>
      <c r="H360" s="21"/>
      <c r="I360" s="21"/>
      <c r="J360" s="24"/>
      <c r="K360" s="24"/>
      <c r="L360" s="24"/>
      <c r="M360" s="24"/>
      <c r="N360" s="24"/>
      <c r="O360" s="24"/>
      <c r="P360" s="24"/>
      <c r="Q360" s="24"/>
    </row>
    <row r="361" spans="1:17" ht="16.2" x14ac:dyDescent="0.35">
      <c r="A361" s="20">
        <v>28496</v>
      </c>
      <c r="B361" s="21">
        <v>9</v>
      </c>
      <c r="C361" s="21">
        <v>1.3</v>
      </c>
      <c r="D361" s="21"/>
      <c r="E361" s="21"/>
      <c r="F361" s="21"/>
      <c r="G361" s="21"/>
      <c r="H361" s="21"/>
      <c r="I361" s="21"/>
      <c r="J361" s="24"/>
      <c r="K361" s="24"/>
      <c r="L361" s="24"/>
      <c r="M361" s="24"/>
      <c r="N361" s="24"/>
      <c r="O361" s="24"/>
      <c r="P361" s="24"/>
      <c r="Q361" s="24"/>
    </row>
    <row r="362" spans="1:17" ht="16.2"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ht="16.2" x14ac:dyDescent="0.35">
      <c r="A363" s="20">
        <v>28510</v>
      </c>
      <c r="B363" s="21">
        <v>8.98</v>
      </c>
      <c r="C363" s="21">
        <v>1.3</v>
      </c>
      <c r="D363" s="21"/>
      <c r="E363" s="21"/>
      <c r="F363" s="21"/>
      <c r="G363" s="21"/>
      <c r="H363" s="21"/>
      <c r="I363" s="21"/>
      <c r="J363" s="24"/>
      <c r="K363" s="24"/>
      <c r="L363" s="24"/>
      <c r="M363" s="24"/>
      <c r="N363" s="24"/>
      <c r="O363" s="24"/>
      <c r="P363" s="24"/>
      <c r="Q363" s="24"/>
    </row>
    <row r="364" spans="1:17" ht="16.2"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ht="16.2"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ht="16.2" x14ac:dyDescent="0.35">
      <c r="A366" s="20">
        <v>28531</v>
      </c>
      <c r="B366" s="21">
        <v>9.15</v>
      </c>
      <c r="C366" s="21">
        <v>1.3</v>
      </c>
      <c r="D366" s="21"/>
      <c r="E366" s="21"/>
      <c r="F366" s="21"/>
      <c r="G366" s="21"/>
      <c r="H366" s="21"/>
      <c r="I366" s="21"/>
      <c r="J366" s="24"/>
      <c r="K366" s="24"/>
      <c r="L366" s="24"/>
      <c r="M366" s="24"/>
      <c r="N366" s="24"/>
      <c r="O366" s="24"/>
      <c r="P366" s="24"/>
      <c r="Q366" s="24"/>
    </row>
    <row r="367" spans="1:17" ht="16.2" x14ac:dyDescent="0.35">
      <c r="A367" s="20">
        <v>28538</v>
      </c>
      <c r="B367" s="21">
        <v>9.15</v>
      </c>
      <c r="C367" s="21">
        <v>1.3</v>
      </c>
      <c r="D367" s="21"/>
      <c r="E367" s="21"/>
      <c r="F367" s="21"/>
      <c r="G367" s="21"/>
      <c r="H367" s="21"/>
      <c r="I367" s="21"/>
      <c r="J367" s="24"/>
      <c r="K367" s="24"/>
      <c r="L367" s="24"/>
      <c r="M367" s="24"/>
      <c r="N367" s="24"/>
      <c r="O367" s="24"/>
      <c r="P367" s="24"/>
      <c r="Q367" s="24"/>
    </row>
    <row r="368" spans="1:17" ht="16.2" x14ac:dyDescent="0.35">
      <c r="A368" s="20">
        <v>28545</v>
      </c>
      <c r="B368" s="21">
        <v>9.15</v>
      </c>
      <c r="C368" s="21">
        <v>1.3</v>
      </c>
      <c r="D368" s="21"/>
      <c r="E368" s="21"/>
      <c r="F368" s="21"/>
      <c r="G368" s="21"/>
      <c r="H368" s="21"/>
      <c r="I368" s="21"/>
      <c r="J368" s="24"/>
      <c r="K368" s="24"/>
      <c r="L368" s="24"/>
      <c r="M368" s="24"/>
      <c r="N368" s="24"/>
      <c r="O368" s="24"/>
      <c r="P368" s="24"/>
      <c r="Q368" s="24"/>
    </row>
    <row r="369" spans="1:17" ht="16.2" x14ac:dyDescent="0.35">
      <c r="A369" s="20">
        <v>28552</v>
      </c>
      <c r="B369" s="21">
        <v>9.15</v>
      </c>
      <c r="C369" s="21">
        <v>1.3</v>
      </c>
      <c r="D369" s="21"/>
      <c r="E369" s="21"/>
      <c r="F369" s="21"/>
      <c r="G369" s="21"/>
      <c r="H369" s="21"/>
      <c r="I369" s="21"/>
      <c r="J369" s="24"/>
      <c r="K369" s="24"/>
      <c r="L369" s="24"/>
      <c r="M369" s="24"/>
      <c r="N369" s="24"/>
      <c r="O369" s="24"/>
      <c r="P369" s="24"/>
      <c r="Q369" s="24"/>
    </row>
    <row r="370" spans="1:17" ht="16.2" x14ac:dyDescent="0.35">
      <c r="A370" s="20">
        <v>28559</v>
      </c>
      <c r="B370" s="21">
        <v>9.15</v>
      </c>
      <c r="C370" s="21">
        <v>1.3</v>
      </c>
      <c r="D370" s="21"/>
      <c r="E370" s="21"/>
      <c r="F370" s="21"/>
      <c r="G370" s="21"/>
      <c r="H370" s="21"/>
      <c r="I370" s="21"/>
      <c r="J370" s="24"/>
      <c r="K370" s="24"/>
      <c r="L370" s="24"/>
      <c r="M370" s="24"/>
      <c r="N370" s="24"/>
      <c r="O370" s="24"/>
      <c r="P370" s="24"/>
      <c r="Q370" s="24"/>
    </row>
    <row r="371" spans="1:17" ht="16.2" x14ac:dyDescent="0.35">
      <c r="A371" s="20">
        <v>28566</v>
      </c>
      <c r="B371" s="21">
        <v>9.23</v>
      </c>
      <c r="C371" s="21">
        <v>1.3</v>
      </c>
      <c r="D371" s="21"/>
      <c r="E371" s="21"/>
      <c r="F371" s="21"/>
      <c r="G371" s="21"/>
      <c r="H371" s="21"/>
      <c r="I371" s="21"/>
      <c r="J371" s="24"/>
      <c r="K371" s="24"/>
      <c r="L371" s="24"/>
      <c r="M371" s="24"/>
      <c r="N371" s="24"/>
      <c r="O371" s="24"/>
      <c r="P371" s="24"/>
      <c r="Q371" s="24"/>
    </row>
    <row r="372" spans="1:17" ht="16.2" x14ac:dyDescent="0.35">
      <c r="A372" s="20">
        <v>28573</v>
      </c>
      <c r="B372" s="21">
        <v>9.23</v>
      </c>
      <c r="C372" s="21">
        <v>1.3</v>
      </c>
      <c r="D372" s="21"/>
      <c r="E372" s="21"/>
      <c r="F372" s="21"/>
      <c r="G372" s="21"/>
      <c r="H372" s="21"/>
      <c r="I372" s="21"/>
      <c r="J372" s="24"/>
      <c r="K372" s="24"/>
      <c r="L372" s="24"/>
      <c r="M372" s="24"/>
      <c r="N372" s="24"/>
      <c r="O372" s="24"/>
      <c r="P372" s="24"/>
      <c r="Q372" s="24"/>
    </row>
    <row r="373" spans="1:17" ht="16.2" x14ac:dyDescent="0.35">
      <c r="A373" s="20">
        <v>28580</v>
      </c>
      <c r="B373" s="21">
        <v>9.25</v>
      </c>
      <c r="C373" s="21">
        <v>1.3</v>
      </c>
      <c r="D373" s="21"/>
      <c r="E373" s="21"/>
      <c r="F373" s="21"/>
      <c r="G373" s="21"/>
      <c r="H373" s="21"/>
      <c r="I373" s="21"/>
      <c r="J373" s="24"/>
      <c r="K373" s="24"/>
      <c r="L373" s="24"/>
      <c r="M373" s="24"/>
      <c r="N373" s="24"/>
      <c r="O373" s="24"/>
      <c r="P373" s="24"/>
      <c r="Q373" s="24"/>
    </row>
    <row r="374" spans="1:17" ht="16.2"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ht="16.2" x14ac:dyDescent="0.35">
      <c r="A375" s="20">
        <v>28594</v>
      </c>
      <c r="B375" s="21">
        <v>9.33</v>
      </c>
      <c r="C375" s="21">
        <v>1.3</v>
      </c>
      <c r="D375" s="21"/>
      <c r="E375" s="21"/>
      <c r="F375" s="21"/>
      <c r="G375" s="21"/>
      <c r="H375" s="21"/>
      <c r="I375" s="21"/>
      <c r="J375" s="24"/>
      <c r="K375" s="24"/>
      <c r="L375" s="24"/>
      <c r="M375" s="24"/>
      <c r="N375" s="24"/>
      <c r="O375" s="24"/>
      <c r="P375" s="24"/>
      <c r="Q375" s="24"/>
    </row>
    <row r="376" spans="1:17" ht="16.2"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ht="16.2" x14ac:dyDescent="0.35">
      <c r="A377" s="20">
        <v>28608</v>
      </c>
      <c r="B377" s="21">
        <v>9.43</v>
      </c>
      <c r="C377" s="21">
        <v>1.2</v>
      </c>
      <c r="D377" s="21"/>
      <c r="E377" s="21"/>
      <c r="F377" s="21"/>
      <c r="G377" s="21"/>
      <c r="H377" s="21"/>
      <c r="I377" s="21"/>
      <c r="J377" s="24"/>
      <c r="K377" s="24"/>
      <c r="L377" s="24"/>
      <c r="M377" s="24"/>
      <c r="N377" s="24"/>
      <c r="O377" s="24"/>
      <c r="P377" s="24"/>
      <c r="Q377" s="24"/>
    </row>
    <row r="378" spans="1:17" ht="16.2" x14ac:dyDescent="0.35">
      <c r="A378" s="20">
        <v>28615</v>
      </c>
      <c r="B378" s="21">
        <v>9.48</v>
      </c>
      <c r="C378" s="21">
        <v>1.2</v>
      </c>
      <c r="D378" s="21"/>
      <c r="E378" s="21"/>
      <c r="F378" s="21"/>
      <c r="G378" s="21"/>
      <c r="H378" s="21"/>
      <c r="I378" s="21"/>
      <c r="J378" s="24"/>
      <c r="K378" s="24"/>
      <c r="L378" s="24"/>
      <c r="M378" s="24"/>
      <c r="N378" s="24"/>
      <c r="O378" s="24"/>
      <c r="P378" s="24"/>
      <c r="Q378" s="24"/>
    </row>
    <row r="379" spans="1:17" ht="16.2"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ht="16.2" x14ac:dyDescent="0.35">
      <c r="A380" s="20">
        <v>28629</v>
      </c>
      <c r="B380" s="21">
        <v>9.58</v>
      </c>
      <c r="C380" s="21">
        <v>1.3</v>
      </c>
      <c r="D380" s="21"/>
      <c r="E380" s="21"/>
      <c r="F380" s="21"/>
      <c r="G380" s="21"/>
      <c r="H380" s="21"/>
      <c r="I380" s="21"/>
      <c r="J380" s="24"/>
      <c r="K380" s="24"/>
      <c r="L380" s="24"/>
      <c r="M380" s="24"/>
      <c r="N380" s="24"/>
      <c r="O380" s="24"/>
      <c r="P380" s="24"/>
      <c r="Q380" s="24"/>
    </row>
    <row r="381" spans="1:17" ht="16.2" x14ac:dyDescent="0.35">
      <c r="A381" s="20">
        <v>28636</v>
      </c>
      <c r="B381" s="21">
        <v>9.68</v>
      </c>
      <c r="C381" s="21">
        <v>1.4</v>
      </c>
      <c r="D381" s="21"/>
      <c r="E381" s="21"/>
      <c r="F381" s="21"/>
      <c r="G381" s="21"/>
      <c r="H381" s="21"/>
      <c r="I381" s="21"/>
      <c r="J381" s="24"/>
      <c r="K381" s="24"/>
      <c r="L381" s="24"/>
      <c r="M381" s="24"/>
      <c r="N381" s="24"/>
      <c r="O381" s="24"/>
      <c r="P381" s="24"/>
      <c r="Q381" s="24"/>
    </row>
    <row r="382" spans="1:17" ht="16.2" x14ac:dyDescent="0.35">
      <c r="A382" s="20">
        <v>28643</v>
      </c>
      <c r="B382" s="21">
        <v>9.68</v>
      </c>
      <c r="C382" s="21">
        <v>1.4</v>
      </c>
      <c r="D382" s="21"/>
      <c r="E382" s="21"/>
      <c r="F382" s="21"/>
      <c r="G382" s="21"/>
      <c r="H382" s="21"/>
      <c r="I382" s="21"/>
      <c r="J382" s="24"/>
      <c r="K382" s="24"/>
      <c r="L382" s="24"/>
      <c r="M382" s="24"/>
      <c r="N382" s="24"/>
      <c r="O382" s="24"/>
      <c r="P382" s="24"/>
      <c r="Q382" s="24"/>
    </row>
    <row r="383" spans="1:17" ht="16.2"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ht="16.2" x14ac:dyDescent="0.35">
      <c r="A384" s="20">
        <v>28657</v>
      </c>
      <c r="B384" s="21">
        <v>9.73</v>
      </c>
      <c r="C384" s="21">
        <v>1.4</v>
      </c>
      <c r="D384" s="21"/>
      <c r="E384" s="21"/>
      <c r="F384" s="21"/>
      <c r="G384" s="21"/>
      <c r="H384" s="21"/>
      <c r="I384" s="21"/>
      <c r="J384" s="24"/>
      <c r="K384" s="24"/>
      <c r="L384" s="24"/>
      <c r="M384" s="24"/>
      <c r="N384" s="24"/>
      <c r="O384" s="24"/>
      <c r="P384" s="24"/>
      <c r="Q384" s="24"/>
    </row>
    <row r="385" spans="1:17" ht="16.2"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ht="16.2" x14ac:dyDescent="0.35">
      <c r="A386" s="20">
        <v>28671</v>
      </c>
      <c r="B386" s="21">
        <v>9.73</v>
      </c>
      <c r="C386" s="21">
        <v>1.4</v>
      </c>
      <c r="D386" s="21"/>
      <c r="E386" s="21"/>
      <c r="F386" s="21"/>
      <c r="G386" s="21"/>
      <c r="H386" s="21"/>
      <c r="I386" s="21"/>
      <c r="J386" s="24"/>
      <c r="K386" s="24"/>
      <c r="L386" s="24"/>
      <c r="M386" s="24"/>
      <c r="N386" s="24"/>
      <c r="O386" s="24"/>
      <c r="P386" s="24"/>
      <c r="Q386" s="24"/>
    </row>
    <row r="387" spans="1:17" ht="16.2" x14ac:dyDescent="0.35">
      <c r="A387" s="20">
        <v>28678</v>
      </c>
      <c r="B387" s="21">
        <v>9.73</v>
      </c>
      <c r="C387" s="21">
        <v>1.5</v>
      </c>
      <c r="D387" s="21"/>
      <c r="E387" s="21"/>
      <c r="F387" s="21"/>
      <c r="G387" s="21"/>
      <c r="H387" s="21"/>
      <c r="I387" s="21"/>
      <c r="J387" s="24"/>
      <c r="K387" s="24"/>
      <c r="L387" s="24"/>
      <c r="M387" s="24"/>
      <c r="N387" s="24"/>
      <c r="O387" s="24"/>
      <c r="P387" s="24"/>
      <c r="Q387" s="24"/>
    </row>
    <row r="388" spans="1:17" ht="16.2" x14ac:dyDescent="0.35">
      <c r="A388" s="20">
        <v>28685</v>
      </c>
      <c r="B388" s="21">
        <v>9.73</v>
      </c>
      <c r="C388" s="21">
        <v>1.5</v>
      </c>
      <c r="D388" s="21"/>
      <c r="E388" s="21"/>
      <c r="F388" s="21"/>
      <c r="G388" s="21"/>
      <c r="H388" s="21"/>
      <c r="I388" s="21"/>
      <c r="J388" s="24"/>
      <c r="K388" s="24"/>
      <c r="L388" s="24"/>
      <c r="M388" s="24"/>
      <c r="N388" s="24"/>
      <c r="O388" s="24"/>
      <c r="P388" s="24"/>
      <c r="Q388" s="24"/>
    </row>
    <row r="389" spans="1:17" ht="16.2" x14ac:dyDescent="0.35">
      <c r="A389" s="20">
        <v>28692</v>
      </c>
      <c r="B389" s="21">
        <v>9.75</v>
      </c>
      <c r="C389" s="21">
        <v>1.3</v>
      </c>
      <c r="D389" s="21"/>
      <c r="E389" s="21"/>
      <c r="F389" s="21"/>
      <c r="G389" s="21"/>
      <c r="H389" s="21"/>
      <c r="I389" s="21"/>
      <c r="J389" s="24"/>
      <c r="K389" s="24"/>
      <c r="L389" s="24"/>
      <c r="M389" s="24"/>
      <c r="N389" s="24"/>
      <c r="O389" s="24"/>
      <c r="P389" s="24"/>
      <c r="Q389" s="24"/>
    </row>
    <row r="390" spans="1:17" ht="16.2" x14ac:dyDescent="0.35">
      <c r="A390" s="20">
        <v>28699</v>
      </c>
      <c r="B390" s="21">
        <v>9.75</v>
      </c>
      <c r="C390" s="21">
        <v>1.3</v>
      </c>
      <c r="D390" s="21"/>
      <c r="E390" s="21"/>
      <c r="F390" s="21"/>
      <c r="G390" s="21"/>
      <c r="H390" s="21"/>
      <c r="I390" s="21"/>
      <c r="J390" s="24"/>
      <c r="K390" s="24"/>
      <c r="L390" s="24"/>
      <c r="M390" s="24"/>
      <c r="N390" s="24"/>
      <c r="O390" s="24"/>
      <c r="P390" s="24"/>
      <c r="Q390" s="24"/>
    </row>
    <row r="391" spans="1:17" ht="16.2"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ht="16.2"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ht="16.2"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ht="16.2"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ht="16.2" x14ac:dyDescent="0.35">
      <c r="A395" s="20">
        <v>28734</v>
      </c>
      <c r="B395" s="21">
        <v>9.75</v>
      </c>
      <c r="C395" s="21">
        <v>1.31</v>
      </c>
      <c r="D395" s="21"/>
      <c r="E395" s="21"/>
      <c r="F395" s="21"/>
      <c r="G395" s="21"/>
      <c r="H395" s="21"/>
      <c r="I395" s="21"/>
      <c r="J395" s="24"/>
      <c r="K395" s="24"/>
      <c r="L395" s="24"/>
      <c r="M395" s="24"/>
      <c r="N395" s="24"/>
      <c r="O395" s="24"/>
      <c r="P395" s="24"/>
      <c r="Q395" s="24"/>
    </row>
    <row r="396" spans="1:17" ht="16.2" x14ac:dyDescent="0.35">
      <c r="A396" s="20">
        <v>28741</v>
      </c>
      <c r="B396" s="21">
        <v>9.75</v>
      </c>
      <c r="C396" s="21">
        <v>1.3</v>
      </c>
      <c r="D396" s="21"/>
      <c r="E396" s="21"/>
      <c r="F396" s="21"/>
      <c r="G396" s="21"/>
      <c r="H396" s="21"/>
      <c r="I396" s="21"/>
      <c r="J396" s="24"/>
      <c r="K396" s="24"/>
      <c r="L396" s="24"/>
      <c r="M396" s="24"/>
      <c r="N396" s="24"/>
      <c r="O396" s="24"/>
      <c r="P396" s="24"/>
      <c r="Q396" s="24"/>
    </row>
    <row r="397" spans="1:17" ht="16.2" x14ac:dyDescent="0.35">
      <c r="A397" s="20">
        <v>28748</v>
      </c>
      <c r="B397" s="21">
        <v>9.75</v>
      </c>
      <c r="C397" s="21">
        <v>1.3</v>
      </c>
      <c r="D397" s="21"/>
      <c r="E397" s="21"/>
      <c r="F397" s="21"/>
      <c r="G397" s="21"/>
      <c r="H397" s="21"/>
      <c r="I397" s="21"/>
      <c r="J397" s="24"/>
      <c r="K397" s="24"/>
      <c r="L397" s="24"/>
      <c r="M397" s="24"/>
      <c r="N397" s="24"/>
      <c r="O397" s="24"/>
      <c r="P397" s="24"/>
      <c r="Q397" s="24"/>
    </row>
    <row r="398" spans="1:17" ht="16.2" x14ac:dyDescent="0.35">
      <c r="A398" s="20">
        <v>28755</v>
      </c>
      <c r="B398" s="21">
        <v>9.75</v>
      </c>
      <c r="C398" s="21">
        <v>1.4</v>
      </c>
      <c r="D398" s="21"/>
      <c r="E398" s="21"/>
      <c r="F398" s="21"/>
      <c r="G398" s="21"/>
      <c r="H398" s="21"/>
      <c r="I398" s="21"/>
      <c r="J398" s="24"/>
      <c r="K398" s="24"/>
      <c r="L398" s="24"/>
      <c r="M398" s="24"/>
      <c r="N398" s="24"/>
      <c r="O398" s="24"/>
      <c r="P398" s="24"/>
      <c r="Q398" s="24"/>
    </row>
    <row r="399" spans="1:17" ht="16.2"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ht="16.2" x14ac:dyDescent="0.35">
      <c r="A400" s="20">
        <v>28769</v>
      </c>
      <c r="B400" s="21">
        <v>9.85</v>
      </c>
      <c r="C400" s="21">
        <v>1.2</v>
      </c>
      <c r="D400" s="21"/>
      <c r="E400" s="21"/>
      <c r="F400" s="21"/>
      <c r="G400" s="21"/>
      <c r="H400" s="21"/>
      <c r="I400" s="21"/>
      <c r="J400" s="24"/>
      <c r="K400" s="24"/>
      <c r="L400" s="24"/>
      <c r="M400" s="24"/>
      <c r="N400" s="24"/>
      <c r="O400" s="24"/>
      <c r="P400" s="24"/>
      <c r="Q400" s="24"/>
    </row>
    <row r="401" spans="1:17" ht="16.2" x14ac:dyDescent="0.35">
      <c r="A401" s="20">
        <v>28776</v>
      </c>
      <c r="B401" s="21">
        <v>9.85</v>
      </c>
      <c r="C401" s="21">
        <v>1.2</v>
      </c>
      <c r="D401" s="21"/>
      <c r="E401" s="21"/>
      <c r="F401" s="21"/>
      <c r="G401" s="21"/>
      <c r="H401" s="21"/>
      <c r="I401" s="21"/>
      <c r="J401" s="24"/>
      <c r="K401" s="24"/>
      <c r="L401" s="24"/>
      <c r="M401" s="24"/>
      <c r="N401" s="24"/>
      <c r="O401" s="24"/>
      <c r="P401" s="24"/>
      <c r="Q401" s="24"/>
    </row>
    <row r="402" spans="1:17" ht="16.2" x14ac:dyDescent="0.35">
      <c r="A402" s="20">
        <v>28783</v>
      </c>
      <c r="B402" s="21">
        <v>9.85</v>
      </c>
      <c r="C402" s="21">
        <v>1.2</v>
      </c>
      <c r="D402" s="21"/>
      <c r="E402" s="21"/>
      <c r="F402" s="21"/>
      <c r="G402" s="21"/>
      <c r="H402" s="21"/>
      <c r="I402" s="21"/>
      <c r="J402" s="24"/>
      <c r="K402" s="24"/>
      <c r="L402" s="24"/>
      <c r="M402" s="24"/>
      <c r="N402" s="24"/>
      <c r="O402" s="24"/>
      <c r="P402" s="24"/>
      <c r="Q402" s="24"/>
    </row>
    <row r="403" spans="1:17" ht="16.2"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ht="16.2" x14ac:dyDescent="0.35">
      <c r="A404" s="20">
        <v>28797</v>
      </c>
      <c r="B404" s="21">
        <v>9.9</v>
      </c>
      <c r="C404" s="21">
        <v>1.2</v>
      </c>
      <c r="D404" s="21"/>
      <c r="E404" s="21"/>
      <c r="F404" s="21"/>
      <c r="G404" s="21"/>
      <c r="H404" s="21"/>
      <c r="I404" s="21"/>
      <c r="J404" s="24"/>
      <c r="K404" s="24"/>
      <c r="L404" s="24"/>
      <c r="M404" s="24"/>
      <c r="N404" s="24"/>
      <c r="O404" s="24"/>
      <c r="P404" s="24"/>
      <c r="Q404" s="24"/>
    </row>
    <row r="405" spans="1:17" ht="16.2"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ht="16.2"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ht="16.2" x14ac:dyDescent="0.35">
      <c r="A407" s="20">
        <v>28818</v>
      </c>
      <c r="B407" s="21">
        <v>10.28</v>
      </c>
      <c r="C407" s="21">
        <v>1.3</v>
      </c>
      <c r="D407" s="21"/>
      <c r="E407" s="21"/>
      <c r="F407" s="21"/>
      <c r="G407" s="21"/>
      <c r="H407" s="21"/>
      <c r="I407" s="21"/>
      <c r="J407" s="24"/>
      <c r="K407" s="24"/>
      <c r="L407" s="24"/>
      <c r="M407" s="24"/>
      <c r="N407" s="24"/>
      <c r="O407" s="24"/>
      <c r="P407" s="24"/>
      <c r="Q407" s="24"/>
    </row>
    <row r="408" spans="1:17" ht="16.2" x14ac:dyDescent="0.35">
      <c r="A408" s="20">
        <v>28825</v>
      </c>
      <c r="B408" s="21">
        <v>10.3</v>
      </c>
      <c r="C408" s="21">
        <v>1.4</v>
      </c>
      <c r="D408" s="21"/>
      <c r="E408" s="21"/>
      <c r="F408" s="21"/>
      <c r="G408" s="21"/>
      <c r="H408" s="21"/>
      <c r="I408" s="21"/>
      <c r="J408" s="24"/>
      <c r="K408" s="24"/>
      <c r="L408" s="24"/>
      <c r="M408" s="24"/>
      <c r="N408" s="24"/>
      <c r="O408" s="24"/>
      <c r="P408" s="24"/>
      <c r="Q408" s="24"/>
    </row>
    <row r="409" spans="1:17" ht="16.2" x14ac:dyDescent="0.35">
      <c r="A409" s="20">
        <v>28832</v>
      </c>
      <c r="B409" s="21">
        <v>10.35</v>
      </c>
      <c r="C409" s="21">
        <v>1.4</v>
      </c>
      <c r="D409" s="21"/>
      <c r="E409" s="21"/>
      <c r="F409" s="21"/>
      <c r="G409" s="21"/>
      <c r="H409" s="21"/>
      <c r="I409" s="21"/>
      <c r="J409" s="24"/>
      <c r="K409" s="24"/>
      <c r="L409" s="24"/>
      <c r="M409" s="24"/>
      <c r="N409" s="24"/>
      <c r="O409" s="24"/>
      <c r="P409" s="24"/>
      <c r="Q409" s="24"/>
    </row>
    <row r="410" spans="1:17" ht="16.2" x14ac:dyDescent="0.35">
      <c r="A410" s="20">
        <v>28839</v>
      </c>
      <c r="B410" s="21">
        <v>10.35</v>
      </c>
      <c r="C410" s="21">
        <v>1.4</v>
      </c>
      <c r="D410" s="21"/>
      <c r="E410" s="21"/>
      <c r="F410" s="21"/>
      <c r="G410" s="21"/>
      <c r="H410" s="21"/>
      <c r="I410" s="21"/>
      <c r="J410" s="24"/>
      <c r="K410" s="24"/>
      <c r="L410" s="24"/>
      <c r="M410" s="24"/>
      <c r="N410" s="24"/>
      <c r="O410" s="24"/>
      <c r="P410" s="24"/>
      <c r="Q410" s="24"/>
    </row>
    <row r="411" spans="1:17" ht="16.2" x14ac:dyDescent="0.35">
      <c r="A411" s="20">
        <v>28846</v>
      </c>
      <c r="B411" s="21">
        <v>10.35</v>
      </c>
      <c r="C411" s="21">
        <v>1.4</v>
      </c>
      <c r="D411" s="21"/>
      <c r="E411" s="21"/>
      <c r="F411" s="21"/>
      <c r="G411" s="21"/>
      <c r="H411" s="21"/>
      <c r="I411" s="21"/>
      <c r="J411" s="24"/>
      <c r="K411" s="24"/>
      <c r="L411" s="24"/>
      <c r="M411" s="24"/>
      <c r="N411" s="24"/>
      <c r="O411" s="24"/>
      <c r="P411" s="24"/>
      <c r="Q411" s="24"/>
    </row>
    <row r="412" spans="1:17" ht="16.2" x14ac:dyDescent="0.35">
      <c r="A412" s="20">
        <v>28853</v>
      </c>
      <c r="B412" s="21">
        <v>10.38</v>
      </c>
      <c r="C412" s="21">
        <v>1.4</v>
      </c>
      <c r="D412" s="21"/>
      <c r="E412" s="21"/>
      <c r="F412" s="21"/>
      <c r="G412" s="21"/>
      <c r="H412" s="21"/>
      <c r="I412" s="21"/>
      <c r="J412" s="24"/>
      <c r="K412" s="24"/>
      <c r="L412" s="24"/>
      <c r="M412" s="24"/>
      <c r="N412" s="24"/>
      <c r="O412" s="24"/>
      <c r="P412" s="24"/>
      <c r="Q412" s="24"/>
    </row>
    <row r="413" spans="1:17" ht="16.2" x14ac:dyDescent="0.35">
      <c r="A413" s="20">
        <v>28860</v>
      </c>
      <c r="B413" s="21">
        <v>10.38</v>
      </c>
      <c r="C413" s="21">
        <v>1.5</v>
      </c>
      <c r="D413" s="21"/>
      <c r="E413" s="21"/>
      <c r="F413" s="21"/>
      <c r="G413" s="21"/>
      <c r="H413" s="21"/>
      <c r="I413" s="21"/>
      <c r="J413" s="24"/>
      <c r="K413" s="24"/>
      <c r="L413" s="24"/>
      <c r="M413" s="24"/>
      <c r="N413" s="24"/>
      <c r="O413" s="24"/>
      <c r="P413" s="24"/>
      <c r="Q413" s="24"/>
    </row>
    <row r="414" spans="1:17" ht="16.2" x14ac:dyDescent="0.35">
      <c r="A414" s="20">
        <v>28867</v>
      </c>
      <c r="B414" s="21">
        <v>10.38</v>
      </c>
      <c r="C414" s="21">
        <v>1.5</v>
      </c>
      <c r="D414" s="21"/>
      <c r="E414" s="21"/>
      <c r="F414" s="21"/>
      <c r="G414" s="21"/>
      <c r="H414" s="21"/>
      <c r="I414" s="21"/>
      <c r="J414" s="24"/>
      <c r="K414" s="24"/>
      <c r="L414" s="24"/>
      <c r="M414" s="24"/>
      <c r="N414" s="24"/>
      <c r="O414" s="24"/>
      <c r="P414" s="24"/>
      <c r="Q414" s="24"/>
    </row>
    <row r="415" spans="1:17" ht="16.2" x14ac:dyDescent="0.35">
      <c r="A415" s="20">
        <v>28874</v>
      </c>
      <c r="B415" s="21">
        <v>10.4</v>
      </c>
      <c r="C415" s="21">
        <v>1.5</v>
      </c>
      <c r="D415" s="21"/>
      <c r="E415" s="21"/>
      <c r="F415" s="21"/>
      <c r="G415" s="21"/>
      <c r="H415" s="21"/>
      <c r="I415" s="21"/>
      <c r="J415" s="24"/>
      <c r="K415" s="24"/>
      <c r="L415" s="24"/>
      <c r="M415" s="24"/>
      <c r="N415" s="24"/>
      <c r="O415" s="24"/>
      <c r="P415" s="24"/>
      <c r="Q415" s="24"/>
    </row>
    <row r="416" spans="1:17" ht="16.2" x14ac:dyDescent="0.35">
      <c r="A416" s="20">
        <v>28881</v>
      </c>
      <c r="B416" s="21">
        <v>10.4</v>
      </c>
      <c r="C416" s="21">
        <v>1.5</v>
      </c>
      <c r="D416" s="21"/>
      <c r="E416" s="21"/>
      <c r="F416" s="21"/>
      <c r="G416" s="21"/>
      <c r="H416" s="21"/>
      <c r="I416" s="21"/>
      <c r="J416" s="24"/>
      <c r="K416" s="24"/>
      <c r="L416" s="24"/>
      <c r="M416" s="24"/>
      <c r="N416" s="24"/>
      <c r="O416" s="24"/>
      <c r="P416" s="24"/>
      <c r="Q416" s="24"/>
    </row>
    <row r="417" spans="1:17" ht="16.2" x14ac:dyDescent="0.35">
      <c r="A417" s="20">
        <v>28888</v>
      </c>
      <c r="B417" s="21">
        <v>10.4</v>
      </c>
      <c r="C417" s="21">
        <v>1.5</v>
      </c>
      <c r="D417" s="21"/>
      <c r="E417" s="21"/>
      <c r="F417" s="21"/>
      <c r="G417" s="21"/>
      <c r="H417" s="21"/>
      <c r="I417" s="21"/>
      <c r="J417" s="24"/>
      <c r="K417" s="24"/>
      <c r="L417" s="24"/>
      <c r="M417" s="24"/>
      <c r="N417" s="24"/>
      <c r="O417" s="24"/>
      <c r="P417" s="24"/>
      <c r="Q417" s="24"/>
    </row>
    <row r="418" spans="1:17" ht="16.2" x14ac:dyDescent="0.35">
      <c r="A418" s="20">
        <v>28895</v>
      </c>
      <c r="B418" s="21">
        <v>10.43</v>
      </c>
      <c r="C418" s="21">
        <v>1.5</v>
      </c>
      <c r="D418" s="21"/>
      <c r="E418" s="21"/>
      <c r="F418" s="21"/>
      <c r="G418" s="21"/>
      <c r="H418" s="21"/>
      <c r="I418" s="21"/>
      <c r="J418" s="24"/>
      <c r="K418" s="24"/>
      <c r="L418" s="24"/>
      <c r="M418" s="24"/>
      <c r="N418" s="24"/>
      <c r="O418" s="24"/>
      <c r="P418" s="24"/>
      <c r="Q418" s="24"/>
    </row>
    <row r="419" spans="1:17" ht="16.2" x14ac:dyDescent="0.35">
      <c r="A419" s="20">
        <v>28902</v>
      </c>
      <c r="B419" s="21">
        <v>10.4</v>
      </c>
      <c r="C419" s="21">
        <v>1.5</v>
      </c>
      <c r="D419" s="21"/>
      <c r="E419" s="21"/>
      <c r="F419" s="21"/>
      <c r="G419" s="21"/>
      <c r="H419" s="21"/>
      <c r="I419" s="21"/>
      <c r="J419" s="24"/>
      <c r="K419" s="24"/>
      <c r="L419" s="24"/>
      <c r="M419" s="24"/>
      <c r="N419" s="24"/>
      <c r="O419" s="24"/>
      <c r="P419" s="24"/>
      <c r="Q419" s="24"/>
    </row>
    <row r="420" spans="1:17" ht="16.2" x14ac:dyDescent="0.35">
      <c r="A420" s="20">
        <v>28909</v>
      </c>
      <c r="B420" s="21">
        <v>10.4</v>
      </c>
      <c r="C420" s="21">
        <v>1.5</v>
      </c>
      <c r="D420" s="21"/>
      <c r="E420" s="21"/>
      <c r="F420" s="21"/>
      <c r="G420" s="21"/>
      <c r="H420" s="21"/>
      <c r="I420" s="21"/>
      <c r="J420" s="24"/>
      <c r="K420" s="24"/>
      <c r="L420" s="24"/>
      <c r="M420" s="24"/>
      <c r="N420" s="24"/>
      <c r="O420" s="24"/>
      <c r="P420" s="24"/>
      <c r="Q420" s="24"/>
    </row>
    <row r="421" spans="1:17" ht="16.2" x14ac:dyDescent="0.35">
      <c r="A421" s="20">
        <v>28916</v>
      </c>
      <c r="B421" s="21">
        <v>10.43</v>
      </c>
      <c r="C421" s="21">
        <v>1.5</v>
      </c>
      <c r="D421" s="21"/>
      <c r="E421" s="21"/>
      <c r="F421" s="21"/>
      <c r="G421" s="21"/>
      <c r="H421" s="21"/>
      <c r="I421" s="21"/>
      <c r="J421" s="24"/>
      <c r="K421" s="24"/>
      <c r="L421" s="24"/>
      <c r="M421" s="24"/>
      <c r="N421" s="24"/>
      <c r="O421" s="24"/>
      <c r="P421" s="24"/>
      <c r="Q421" s="24"/>
    </row>
    <row r="422" spans="1:17" ht="16.2" x14ac:dyDescent="0.35">
      <c r="A422" s="20">
        <v>28923</v>
      </c>
      <c r="B422" s="21">
        <v>10.4</v>
      </c>
      <c r="C422" s="21">
        <v>1.5</v>
      </c>
      <c r="D422" s="21"/>
      <c r="E422" s="21"/>
      <c r="F422" s="21"/>
      <c r="G422" s="21"/>
      <c r="H422" s="21"/>
      <c r="I422" s="21"/>
      <c r="J422" s="24"/>
      <c r="K422" s="24"/>
      <c r="L422" s="24"/>
      <c r="M422" s="24"/>
      <c r="N422" s="24"/>
      <c r="O422" s="24"/>
      <c r="P422" s="24"/>
      <c r="Q422" s="24"/>
    </row>
    <row r="423" spans="1:17" ht="16.2" x14ac:dyDescent="0.35">
      <c r="A423" s="20">
        <v>28930</v>
      </c>
      <c r="B423" s="21">
        <v>10.4</v>
      </c>
      <c r="C423" s="21">
        <v>1.5</v>
      </c>
      <c r="D423" s="21"/>
      <c r="E423" s="21"/>
      <c r="F423" s="21"/>
      <c r="G423" s="21"/>
      <c r="H423" s="21"/>
      <c r="I423" s="21"/>
      <c r="J423" s="24"/>
      <c r="K423" s="24"/>
      <c r="L423" s="24"/>
      <c r="M423" s="24"/>
      <c r="N423" s="24"/>
      <c r="O423" s="24"/>
      <c r="P423" s="24"/>
      <c r="Q423" s="24"/>
    </row>
    <row r="424" spans="1:17" ht="16.2" x14ac:dyDescent="0.35">
      <c r="A424" s="20">
        <v>28937</v>
      </c>
      <c r="B424" s="21">
        <v>10.45</v>
      </c>
      <c r="C424" s="21">
        <v>1.6</v>
      </c>
      <c r="D424" s="21"/>
      <c r="E424" s="21"/>
      <c r="F424" s="21"/>
      <c r="G424" s="21"/>
      <c r="H424" s="21"/>
      <c r="I424" s="21"/>
      <c r="J424" s="24"/>
      <c r="K424" s="24"/>
      <c r="L424" s="24"/>
      <c r="M424" s="24"/>
      <c r="N424" s="24"/>
      <c r="O424" s="24"/>
      <c r="P424" s="24"/>
      <c r="Q424" s="24"/>
    </row>
    <row r="425" spans="1:17" ht="16.2" x14ac:dyDescent="0.35">
      <c r="A425" s="20">
        <v>28944</v>
      </c>
      <c r="B425" s="21">
        <v>10.45</v>
      </c>
      <c r="C425" s="21">
        <v>1.6</v>
      </c>
      <c r="D425" s="21"/>
      <c r="E425" s="21"/>
      <c r="F425" s="21"/>
      <c r="G425" s="21"/>
      <c r="H425" s="21"/>
      <c r="I425" s="21"/>
      <c r="J425" s="24"/>
      <c r="K425" s="24"/>
      <c r="L425" s="24"/>
      <c r="M425" s="24"/>
      <c r="N425" s="24"/>
      <c r="O425" s="24"/>
      <c r="P425" s="24"/>
      <c r="Q425" s="24"/>
    </row>
    <row r="426" spans="1:17" ht="16.2" x14ac:dyDescent="0.35">
      <c r="A426" s="20">
        <v>28951</v>
      </c>
      <c r="B426" s="21">
        <v>10.48</v>
      </c>
      <c r="C426" s="21">
        <v>1.6</v>
      </c>
      <c r="D426" s="21"/>
      <c r="E426" s="21"/>
      <c r="F426" s="21"/>
      <c r="G426" s="21"/>
      <c r="H426" s="21"/>
      <c r="I426" s="21"/>
      <c r="J426" s="24"/>
      <c r="K426" s="24"/>
      <c r="L426" s="24"/>
      <c r="M426" s="24"/>
      <c r="N426" s="24"/>
      <c r="O426" s="24"/>
      <c r="P426" s="24"/>
      <c r="Q426" s="24"/>
    </row>
    <row r="427" spans="1:17" ht="16.2" x14ac:dyDescent="0.35">
      <c r="A427" s="20">
        <v>28958</v>
      </c>
      <c r="B427" s="21">
        <v>10.48</v>
      </c>
      <c r="C427" s="21">
        <v>1.6</v>
      </c>
      <c r="D427" s="21"/>
      <c r="E427" s="21"/>
      <c r="F427" s="21"/>
      <c r="G427" s="21"/>
      <c r="H427" s="21"/>
      <c r="I427" s="21"/>
      <c r="J427" s="24"/>
      <c r="K427" s="24"/>
      <c r="L427" s="24"/>
      <c r="M427" s="24"/>
      <c r="N427" s="24"/>
      <c r="O427" s="24"/>
      <c r="P427" s="24"/>
      <c r="Q427" s="24"/>
    </row>
    <row r="428" spans="1:17" ht="16.2" x14ac:dyDescent="0.35">
      <c r="A428" s="20">
        <v>28965</v>
      </c>
      <c r="B428" s="21">
        <v>10.5</v>
      </c>
      <c r="C428" s="21">
        <v>1.2</v>
      </c>
      <c r="D428" s="21"/>
      <c r="E428" s="21"/>
      <c r="F428" s="21"/>
      <c r="G428" s="21"/>
      <c r="H428" s="21"/>
      <c r="I428" s="21"/>
      <c r="J428" s="24"/>
      <c r="K428" s="24"/>
      <c r="L428" s="24"/>
      <c r="M428" s="24"/>
      <c r="N428" s="24"/>
      <c r="O428" s="24"/>
      <c r="P428" s="24"/>
      <c r="Q428" s="24"/>
    </row>
    <row r="429" spans="1:17" ht="16.2" x14ac:dyDescent="0.35">
      <c r="A429" s="20">
        <v>28972</v>
      </c>
      <c r="B429" s="21">
        <v>10.53</v>
      </c>
      <c r="C429" s="21">
        <v>1.6</v>
      </c>
      <c r="D429" s="21"/>
      <c r="E429" s="21"/>
      <c r="F429" s="21"/>
      <c r="G429" s="21"/>
      <c r="H429" s="21"/>
      <c r="I429" s="21"/>
      <c r="J429" s="24"/>
      <c r="K429" s="24"/>
      <c r="L429" s="24"/>
      <c r="M429" s="24"/>
      <c r="N429" s="24"/>
      <c r="O429" s="24"/>
      <c r="P429" s="24"/>
      <c r="Q429" s="24"/>
    </row>
    <row r="430" spans="1:17" ht="16.2" x14ac:dyDescent="0.35">
      <c r="A430" s="20">
        <v>28979</v>
      </c>
      <c r="B430" s="21">
        <v>10.6</v>
      </c>
      <c r="C430" s="21">
        <v>1.6</v>
      </c>
      <c r="D430" s="21"/>
      <c r="E430" s="21"/>
      <c r="F430" s="21"/>
      <c r="G430" s="21"/>
      <c r="H430" s="21"/>
      <c r="I430" s="21"/>
      <c r="J430" s="24"/>
      <c r="K430" s="24"/>
      <c r="L430" s="24"/>
      <c r="M430" s="24"/>
      <c r="N430" s="24"/>
      <c r="O430" s="24"/>
      <c r="P430" s="24"/>
      <c r="Q430" s="24"/>
    </row>
    <row r="431" spans="1:17" ht="16.2" x14ac:dyDescent="0.35">
      <c r="A431" s="20">
        <v>28986</v>
      </c>
      <c r="B431" s="21">
        <v>10.68</v>
      </c>
      <c r="C431" s="21">
        <v>1.6</v>
      </c>
      <c r="D431" s="21"/>
      <c r="E431" s="21"/>
      <c r="F431" s="21"/>
      <c r="G431" s="21"/>
      <c r="H431" s="21"/>
      <c r="I431" s="21"/>
      <c r="J431" s="24"/>
      <c r="K431" s="24"/>
      <c r="L431" s="24"/>
      <c r="M431" s="24"/>
      <c r="N431" s="24"/>
      <c r="O431" s="24"/>
      <c r="P431" s="24"/>
      <c r="Q431" s="24"/>
    </row>
    <row r="432" spans="1:17" ht="16.2" x14ac:dyDescent="0.35">
      <c r="A432" s="20">
        <v>28993</v>
      </c>
      <c r="B432" s="21">
        <v>10.73</v>
      </c>
      <c r="C432" s="21">
        <v>1.6</v>
      </c>
      <c r="D432" s="21"/>
      <c r="E432" s="21"/>
      <c r="F432" s="21"/>
      <c r="G432" s="21"/>
      <c r="H432" s="21"/>
      <c r="I432" s="21"/>
      <c r="J432" s="24"/>
      <c r="K432" s="24"/>
      <c r="L432" s="24"/>
      <c r="M432" s="24"/>
      <c r="N432" s="24"/>
      <c r="O432" s="24"/>
      <c r="P432" s="24"/>
      <c r="Q432" s="24"/>
    </row>
    <row r="433" spans="1:17" ht="16.2" x14ac:dyDescent="0.35">
      <c r="A433" s="20">
        <v>29000</v>
      </c>
      <c r="B433" s="21">
        <v>10.75</v>
      </c>
      <c r="C433" s="21">
        <v>1.6</v>
      </c>
      <c r="D433" s="21"/>
      <c r="E433" s="21"/>
      <c r="F433" s="21"/>
      <c r="G433" s="21"/>
      <c r="H433" s="21"/>
      <c r="I433" s="21"/>
      <c r="J433" s="24"/>
      <c r="K433" s="24"/>
      <c r="L433" s="24"/>
      <c r="M433" s="24"/>
      <c r="N433" s="24"/>
      <c r="O433" s="24"/>
      <c r="P433" s="24"/>
      <c r="Q433" s="24"/>
    </row>
    <row r="434" spans="1:17" ht="16.2" x14ac:dyDescent="0.35">
      <c r="A434" s="20">
        <v>29007</v>
      </c>
      <c r="B434" s="21">
        <v>10.9</v>
      </c>
      <c r="C434" s="21">
        <v>1.6</v>
      </c>
      <c r="D434" s="21"/>
      <c r="E434" s="21"/>
      <c r="F434" s="21"/>
      <c r="G434" s="21"/>
      <c r="H434" s="21"/>
      <c r="I434" s="21"/>
      <c r="J434" s="24"/>
      <c r="K434" s="24"/>
      <c r="L434" s="24"/>
      <c r="M434" s="24"/>
      <c r="N434" s="24"/>
      <c r="O434" s="24"/>
      <c r="P434" s="24"/>
      <c r="Q434" s="24"/>
    </row>
    <row r="435" spans="1:17" ht="16.2" x14ac:dyDescent="0.35">
      <c r="A435" s="20">
        <v>29014</v>
      </c>
      <c r="B435" s="21">
        <v>11.03</v>
      </c>
      <c r="C435" s="21">
        <v>1.6</v>
      </c>
      <c r="D435" s="21"/>
      <c r="E435" s="21"/>
      <c r="F435" s="21"/>
      <c r="G435" s="21"/>
      <c r="H435" s="21"/>
      <c r="I435" s="21"/>
      <c r="J435" s="24"/>
      <c r="K435" s="24"/>
      <c r="L435" s="24"/>
      <c r="M435" s="24"/>
      <c r="N435" s="24"/>
      <c r="O435" s="24"/>
      <c r="P435" s="24"/>
      <c r="Q435" s="24"/>
    </row>
    <row r="436" spans="1:17" ht="16.2" x14ac:dyDescent="0.35">
      <c r="A436" s="20">
        <v>29021</v>
      </c>
      <c r="B436" s="21">
        <v>11.05</v>
      </c>
      <c r="C436" s="21">
        <v>1.6</v>
      </c>
      <c r="D436" s="21"/>
      <c r="E436" s="21"/>
      <c r="F436" s="21"/>
      <c r="G436" s="21"/>
      <c r="H436" s="21"/>
      <c r="I436" s="21"/>
      <c r="J436" s="24"/>
      <c r="K436" s="24"/>
      <c r="L436" s="24"/>
      <c r="M436" s="24"/>
      <c r="N436" s="24"/>
      <c r="O436" s="24"/>
      <c r="P436" s="24"/>
      <c r="Q436" s="24"/>
    </row>
    <row r="437" spans="1:17" ht="16.2" x14ac:dyDescent="0.35">
      <c r="A437" s="20">
        <v>29028</v>
      </c>
      <c r="B437" s="21">
        <v>11.1</v>
      </c>
      <c r="C437" s="21">
        <v>1.7</v>
      </c>
      <c r="D437" s="21"/>
      <c r="E437" s="21"/>
      <c r="F437" s="21"/>
      <c r="G437" s="21"/>
      <c r="H437" s="21"/>
      <c r="I437" s="21"/>
      <c r="J437" s="24"/>
      <c r="K437" s="24"/>
      <c r="L437" s="24"/>
      <c r="M437" s="24"/>
      <c r="N437" s="24"/>
      <c r="O437" s="24"/>
      <c r="P437" s="24"/>
      <c r="Q437" s="24"/>
    </row>
    <row r="438" spans="1:17" ht="16.2" x14ac:dyDescent="0.35">
      <c r="A438" s="20">
        <v>29035</v>
      </c>
      <c r="B438" s="21">
        <v>11.1</v>
      </c>
      <c r="C438" s="21">
        <v>1.6</v>
      </c>
      <c r="D438" s="21"/>
      <c r="E438" s="21"/>
      <c r="F438" s="21"/>
      <c r="G438" s="21"/>
      <c r="H438" s="21"/>
      <c r="I438" s="21"/>
      <c r="J438" s="24"/>
      <c r="K438" s="24"/>
      <c r="L438" s="24"/>
      <c r="M438" s="24"/>
      <c r="N438" s="24"/>
      <c r="O438" s="24"/>
      <c r="P438" s="24"/>
      <c r="Q438" s="24"/>
    </row>
    <row r="439" spans="1:17" ht="16.2" x14ac:dyDescent="0.35">
      <c r="A439" s="20">
        <v>29042</v>
      </c>
      <c r="B439" s="21">
        <v>11.13</v>
      </c>
      <c r="C439" s="21">
        <v>1.7</v>
      </c>
      <c r="D439" s="21"/>
      <c r="E439" s="21"/>
      <c r="F439" s="21"/>
      <c r="G439" s="21"/>
      <c r="H439" s="21"/>
      <c r="I439" s="21"/>
      <c r="J439" s="24"/>
      <c r="K439" s="24"/>
      <c r="L439" s="24"/>
      <c r="M439" s="24"/>
      <c r="N439" s="24"/>
      <c r="O439" s="24"/>
      <c r="P439" s="24"/>
      <c r="Q439" s="24"/>
    </row>
    <row r="440" spans="1:17" ht="16.2" x14ac:dyDescent="0.35">
      <c r="A440" s="20">
        <v>29049</v>
      </c>
      <c r="B440" s="21">
        <v>11.08</v>
      </c>
      <c r="C440" s="21">
        <v>1.7</v>
      </c>
      <c r="D440" s="21"/>
      <c r="E440" s="21"/>
      <c r="F440" s="21"/>
      <c r="G440" s="21"/>
      <c r="H440" s="21"/>
      <c r="I440" s="21"/>
      <c r="J440" s="24"/>
      <c r="K440" s="24"/>
      <c r="L440" s="24"/>
      <c r="M440" s="24"/>
      <c r="N440" s="24"/>
      <c r="O440" s="24"/>
      <c r="P440" s="24"/>
      <c r="Q440" s="24"/>
    </row>
    <row r="441" spans="1:17" ht="16.2" x14ac:dyDescent="0.35">
      <c r="A441" s="20">
        <v>29056</v>
      </c>
      <c r="B441" s="21">
        <v>11.08</v>
      </c>
      <c r="C441" s="21">
        <v>1.6</v>
      </c>
      <c r="D441" s="21"/>
      <c r="E441" s="21"/>
      <c r="F441" s="21"/>
      <c r="G441" s="21"/>
      <c r="H441" s="21"/>
      <c r="I441" s="21"/>
      <c r="J441" s="24"/>
      <c r="K441" s="24"/>
      <c r="L441" s="24"/>
      <c r="M441" s="24"/>
      <c r="N441" s="24"/>
      <c r="O441" s="24"/>
      <c r="P441" s="24"/>
      <c r="Q441" s="24"/>
    </row>
    <row r="442" spans="1:17" ht="16.2" x14ac:dyDescent="0.35">
      <c r="A442" s="20">
        <v>29063</v>
      </c>
      <c r="B442" s="21">
        <v>11.08</v>
      </c>
      <c r="C442" s="21">
        <v>1.6</v>
      </c>
      <c r="D442" s="21"/>
      <c r="E442" s="21"/>
      <c r="F442" s="21"/>
      <c r="G442" s="21"/>
      <c r="H442" s="21"/>
      <c r="I442" s="21"/>
      <c r="J442" s="24"/>
      <c r="K442" s="24"/>
      <c r="L442" s="24"/>
      <c r="M442" s="24"/>
      <c r="N442" s="24"/>
      <c r="O442" s="24"/>
      <c r="P442" s="24"/>
      <c r="Q442" s="24"/>
    </row>
    <row r="443" spans="1:17" ht="16.2" x14ac:dyDescent="0.35">
      <c r="A443" s="20">
        <v>29070</v>
      </c>
      <c r="B443" s="21">
        <v>11.08</v>
      </c>
      <c r="C443" s="21">
        <v>1.6</v>
      </c>
      <c r="D443" s="21"/>
      <c r="E443" s="21"/>
      <c r="F443" s="21"/>
      <c r="G443" s="21"/>
      <c r="H443" s="21"/>
      <c r="I443" s="21"/>
      <c r="J443" s="24"/>
      <c r="K443" s="24"/>
      <c r="L443" s="24"/>
      <c r="M443" s="24"/>
      <c r="N443" s="24"/>
      <c r="O443" s="24"/>
      <c r="P443" s="24"/>
      <c r="Q443" s="24"/>
    </row>
    <row r="444" spans="1:17" ht="16.2" x14ac:dyDescent="0.35">
      <c r="A444" s="20">
        <v>29077</v>
      </c>
      <c r="B444" s="21">
        <v>11.08</v>
      </c>
      <c r="C444" s="21">
        <v>1.6</v>
      </c>
      <c r="D444" s="21"/>
      <c r="E444" s="21"/>
      <c r="F444" s="21"/>
      <c r="G444" s="21"/>
      <c r="H444" s="21"/>
      <c r="I444" s="21"/>
      <c r="J444" s="24"/>
      <c r="K444" s="24"/>
      <c r="L444" s="24"/>
      <c r="M444" s="24"/>
      <c r="N444" s="24"/>
      <c r="O444" s="24"/>
      <c r="P444" s="24"/>
      <c r="Q444" s="24"/>
    </row>
    <row r="445" spans="1:17" ht="16.2" x14ac:dyDescent="0.35">
      <c r="A445" s="20">
        <v>29084</v>
      </c>
      <c r="B445" s="21">
        <v>11.08</v>
      </c>
      <c r="C445" s="21">
        <v>1.7</v>
      </c>
      <c r="D445" s="21"/>
      <c r="E445" s="21"/>
      <c r="F445" s="21"/>
      <c r="G445" s="21"/>
      <c r="H445" s="21"/>
      <c r="I445" s="21"/>
      <c r="J445" s="24"/>
      <c r="K445" s="24"/>
      <c r="L445" s="24"/>
      <c r="M445" s="24"/>
      <c r="N445" s="24"/>
      <c r="O445" s="24"/>
      <c r="P445" s="24"/>
      <c r="Q445" s="24"/>
    </row>
    <row r="446" spans="1:17" ht="16.2" x14ac:dyDescent="0.35">
      <c r="A446" s="20">
        <v>29091</v>
      </c>
      <c r="B446" s="21">
        <v>11.1</v>
      </c>
      <c r="C446" s="21">
        <v>1.7</v>
      </c>
      <c r="D446" s="21"/>
      <c r="E446" s="21"/>
      <c r="F446" s="21"/>
      <c r="G446" s="21"/>
      <c r="H446" s="21"/>
      <c r="I446" s="21"/>
      <c r="J446" s="24"/>
      <c r="K446" s="24"/>
      <c r="L446" s="24"/>
      <c r="M446" s="24"/>
      <c r="N446" s="24"/>
      <c r="O446" s="24"/>
      <c r="P446" s="24"/>
      <c r="Q446" s="24"/>
    </row>
    <row r="447" spans="1:17" ht="16.2" x14ac:dyDescent="0.35">
      <c r="A447" s="20">
        <v>29098</v>
      </c>
      <c r="B447" s="21">
        <v>11.13</v>
      </c>
      <c r="C447" s="21">
        <v>1.7</v>
      </c>
      <c r="D447" s="21"/>
      <c r="E447" s="21"/>
      <c r="F447" s="21"/>
      <c r="G447" s="21"/>
      <c r="H447" s="21"/>
      <c r="I447" s="21"/>
      <c r="J447" s="24"/>
      <c r="K447" s="24"/>
      <c r="L447" s="24"/>
      <c r="M447" s="24"/>
      <c r="N447" s="24"/>
      <c r="O447" s="24"/>
      <c r="P447" s="24"/>
      <c r="Q447" s="24"/>
    </row>
    <row r="448" spans="1:17" ht="16.2" x14ac:dyDescent="0.35">
      <c r="A448" s="20">
        <v>29105</v>
      </c>
      <c r="B448" s="21">
        <v>11.2</v>
      </c>
      <c r="C448" s="21">
        <v>1.7</v>
      </c>
      <c r="D448" s="21"/>
      <c r="E448" s="21"/>
      <c r="F448" s="21"/>
      <c r="G448" s="21"/>
      <c r="H448" s="21"/>
      <c r="I448" s="21"/>
      <c r="J448" s="24"/>
      <c r="K448" s="24"/>
      <c r="L448" s="24"/>
      <c r="M448" s="24"/>
      <c r="N448" s="24"/>
      <c r="O448" s="24"/>
      <c r="P448" s="24"/>
      <c r="Q448" s="24"/>
    </row>
    <row r="449" spans="1:17" ht="16.2" x14ac:dyDescent="0.35">
      <c r="A449" s="20">
        <v>29112</v>
      </c>
      <c r="B449" s="21">
        <v>11.3</v>
      </c>
      <c r="C449" s="21">
        <v>1.6</v>
      </c>
      <c r="D449" s="21"/>
      <c r="E449" s="21"/>
      <c r="F449" s="21"/>
      <c r="G449" s="21"/>
      <c r="H449" s="21"/>
      <c r="I449" s="21"/>
      <c r="J449" s="24"/>
      <c r="K449" s="24"/>
      <c r="L449" s="24"/>
      <c r="M449" s="24"/>
      <c r="N449" s="24"/>
      <c r="O449" s="24"/>
      <c r="P449" s="24"/>
      <c r="Q449" s="24"/>
    </row>
    <row r="450" spans="1:17" ht="16.2" x14ac:dyDescent="0.35">
      <c r="A450" s="20">
        <v>29119</v>
      </c>
      <c r="B450" s="21">
        <v>11.35</v>
      </c>
      <c r="C450" s="21">
        <v>1.6</v>
      </c>
      <c r="D450" s="21"/>
      <c r="E450" s="21"/>
      <c r="F450" s="21"/>
      <c r="G450" s="21"/>
      <c r="H450" s="21"/>
      <c r="I450" s="21"/>
      <c r="J450" s="24"/>
      <c r="K450" s="24"/>
      <c r="L450" s="24"/>
      <c r="M450" s="24"/>
      <c r="N450" s="24"/>
      <c r="O450" s="24"/>
      <c r="P450" s="24"/>
      <c r="Q450" s="24"/>
    </row>
    <row r="451" spans="1:17" ht="16.2" x14ac:dyDescent="0.35">
      <c r="A451" s="20">
        <v>29126</v>
      </c>
      <c r="B451" s="21">
        <v>11.35</v>
      </c>
      <c r="C451" s="21">
        <v>1.6</v>
      </c>
      <c r="D451" s="21"/>
      <c r="E451" s="21"/>
      <c r="F451" s="21"/>
      <c r="G451" s="21"/>
      <c r="H451" s="21"/>
      <c r="I451" s="21"/>
      <c r="J451" s="24"/>
      <c r="K451" s="24"/>
      <c r="L451" s="24"/>
      <c r="M451" s="24"/>
      <c r="N451" s="24"/>
      <c r="O451" s="24"/>
      <c r="P451" s="24"/>
      <c r="Q451" s="24"/>
    </row>
    <row r="452" spans="1:17" ht="16.2" x14ac:dyDescent="0.35">
      <c r="A452" s="20">
        <v>29133</v>
      </c>
      <c r="B452" s="21">
        <v>11.35</v>
      </c>
      <c r="C452" s="21">
        <v>1.6</v>
      </c>
      <c r="D452" s="21"/>
      <c r="E452" s="21"/>
      <c r="F452" s="21"/>
      <c r="G452" s="21"/>
      <c r="H452" s="21"/>
      <c r="I452" s="21"/>
      <c r="J452" s="24"/>
      <c r="K452" s="24"/>
      <c r="L452" s="24"/>
      <c r="M452" s="24"/>
      <c r="N452" s="24"/>
      <c r="O452" s="24"/>
      <c r="P452" s="24"/>
      <c r="Q452" s="24"/>
    </row>
    <row r="453" spans="1:17" ht="16.2" x14ac:dyDescent="0.35">
      <c r="A453" s="20">
        <v>29140</v>
      </c>
      <c r="B453" s="21">
        <v>11.45</v>
      </c>
      <c r="C453" s="21">
        <v>1.6</v>
      </c>
      <c r="D453" s="21"/>
      <c r="E453" s="21"/>
      <c r="F453" s="21"/>
      <c r="G453" s="21"/>
      <c r="H453" s="21"/>
      <c r="I453" s="21"/>
      <c r="J453" s="24"/>
      <c r="K453" s="24"/>
      <c r="L453" s="24"/>
      <c r="M453" s="24"/>
      <c r="N453" s="24"/>
      <c r="O453" s="24"/>
      <c r="P453" s="24"/>
      <c r="Q453" s="24"/>
    </row>
    <row r="454" spans="1:17" ht="16.2" x14ac:dyDescent="0.35">
      <c r="A454" s="20">
        <v>29147</v>
      </c>
      <c r="B454" s="21">
        <v>11.75</v>
      </c>
      <c r="C454" s="21">
        <v>1.7</v>
      </c>
      <c r="D454" s="21"/>
      <c r="E454" s="21"/>
      <c r="F454" s="21"/>
      <c r="G454" s="21"/>
      <c r="H454" s="21"/>
      <c r="I454" s="21"/>
      <c r="J454" s="24"/>
      <c r="K454" s="24"/>
      <c r="L454" s="24"/>
      <c r="M454" s="24"/>
      <c r="N454" s="24"/>
      <c r="O454" s="24"/>
      <c r="P454" s="24"/>
      <c r="Q454" s="24"/>
    </row>
    <row r="455" spans="1:17" ht="16.2" x14ac:dyDescent="0.35">
      <c r="A455" s="20">
        <v>29154</v>
      </c>
      <c r="B455" s="21">
        <v>12</v>
      </c>
      <c r="C455" s="21">
        <v>1.7</v>
      </c>
      <c r="D455" s="21"/>
      <c r="E455" s="21"/>
      <c r="F455" s="21"/>
      <c r="G455" s="21"/>
      <c r="H455" s="21"/>
      <c r="I455" s="21"/>
      <c r="J455" s="24"/>
      <c r="K455" s="24"/>
      <c r="L455" s="24"/>
      <c r="M455" s="24"/>
      <c r="N455" s="24"/>
      <c r="O455" s="24"/>
      <c r="P455" s="24"/>
      <c r="Q455" s="24"/>
    </row>
    <row r="456" spans="1:17" ht="16.2" x14ac:dyDescent="0.35">
      <c r="A456" s="20">
        <v>29161</v>
      </c>
      <c r="B456" s="21">
        <v>12.8</v>
      </c>
      <c r="C456" s="21">
        <v>1.7</v>
      </c>
      <c r="D456" s="21"/>
      <c r="E456" s="21"/>
      <c r="F456" s="21"/>
      <c r="G456" s="21"/>
      <c r="H456" s="21"/>
      <c r="I456" s="21"/>
      <c r="J456" s="24"/>
      <c r="K456" s="24"/>
      <c r="L456" s="24"/>
      <c r="M456" s="24"/>
      <c r="N456" s="24"/>
      <c r="O456" s="24"/>
      <c r="P456" s="24"/>
      <c r="Q456" s="24"/>
    </row>
    <row r="457" spans="1:17" ht="16.2" x14ac:dyDescent="0.35">
      <c r="A457" s="20">
        <v>29168</v>
      </c>
      <c r="B457" s="21">
        <v>12.85</v>
      </c>
      <c r="C457" s="21">
        <v>1.7</v>
      </c>
      <c r="D457" s="21"/>
      <c r="E457" s="21"/>
      <c r="F457" s="21"/>
      <c r="G457" s="21"/>
      <c r="H457" s="21"/>
      <c r="I457" s="21"/>
      <c r="J457" s="24"/>
      <c r="K457" s="24"/>
      <c r="L457" s="24"/>
      <c r="M457" s="24"/>
      <c r="N457" s="24"/>
      <c r="O457" s="24"/>
      <c r="P457" s="24"/>
      <c r="Q457" s="24"/>
    </row>
    <row r="458" spans="1:17" ht="16.2" x14ac:dyDescent="0.35">
      <c r="A458" s="20">
        <v>29175</v>
      </c>
      <c r="B458" s="21">
        <v>12.8</v>
      </c>
      <c r="C458" s="21">
        <v>1.7</v>
      </c>
      <c r="D458" s="21"/>
      <c r="E458" s="21"/>
      <c r="F458" s="21"/>
      <c r="G458" s="21"/>
      <c r="H458" s="21"/>
      <c r="I458" s="21"/>
      <c r="J458" s="24"/>
      <c r="K458" s="24"/>
      <c r="L458" s="24"/>
      <c r="M458" s="24"/>
      <c r="N458" s="24"/>
      <c r="O458" s="24"/>
      <c r="P458" s="24"/>
      <c r="Q458" s="24"/>
    </row>
    <row r="459" spans="1:17" ht="16.2" x14ac:dyDescent="0.35">
      <c r="A459" s="20">
        <v>29182</v>
      </c>
      <c r="B459" s="21">
        <v>12.8</v>
      </c>
      <c r="C459" s="21">
        <v>1.7</v>
      </c>
      <c r="D459" s="21"/>
      <c r="E459" s="21"/>
      <c r="F459" s="21"/>
      <c r="G459" s="21"/>
      <c r="H459" s="21"/>
      <c r="I459" s="21"/>
      <c r="J459" s="24"/>
      <c r="K459" s="24"/>
      <c r="L459" s="24"/>
      <c r="M459" s="24"/>
      <c r="N459" s="24"/>
      <c r="O459" s="24"/>
      <c r="P459" s="24"/>
      <c r="Q459" s="24"/>
    </row>
    <row r="460" spans="1:17" ht="16.2" x14ac:dyDescent="0.35">
      <c r="A460" s="20">
        <v>29189</v>
      </c>
      <c r="B460" s="21">
        <v>12.9</v>
      </c>
      <c r="C460" s="21">
        <v>1.6</v>
      </c>
      <c r="D460" s="21"/>
      <c r="E460" s="21"/>
      <c r="F460" s="21"/>
      <c r="G460" s="21"/>
      <c r="H460" s="21"/>
      <c r="I460" s="21"/>
      <c r="J460" s="24"/>
      <c r="K460" s="24"/>
      <c r="L460" s="24"/>
      <c r="M460" s="24"/>
      <c r="N460" s="24"/>
      <c r="O460" s="24"/>
      <c r="P460" s="24"/>
      <c r="Q460" s="24"/>
    </row>
    <row r="461" spans="1:17" ht="16.2" x14ac:dyDescent="0.35">
      <c r="A461" s="20">
        <v>29196</v>
      </c>
      <c r="B461" s="21">
        <v>12.9</v>
      </c>
      <c r="C461" s="21">
        <v>1.6</v>
      </c>
      <c r="D461" s="21"/>
      <c r="E461" s="21"/>
      <c r="F461" s="21"/>
      <c r="G461" s="21"/>
      <c r="H461" s="21"/>
      <c r="I461" s="21"/>
      <c r="J461" s="24"/>
      <c r="K461" s="24"/>
      <c r="L461" s="24"/>
      <c r="M461" s="24"/>
      <c r="N461" s="24"/>
      <c r="O461" s="24"/>
      <c r="P461" s="24"/>
      <c r="Q461" s="24"/>
    </row>
    <row r="462" spans="1:17" ht="16.2" x14ac:dyDescent="0.35">
      <c r="A462" s="20">
        <v>29203</v>
      </c>
      <c r="B462" s="21">
        <v>12.9</v>
      </c>
      <c r="C462" s="21">
        <v>1.6</v>
      </c>
      <c r="D462" s="21"/>
      <c r="E462" s="21"/>
      <c r="F462" s="21"/>
      <c r="G462" s="21"/>
      <c r="H462" s="21"/>
      <c r="I462" s="21"/>
      <c r="J462" s="24"/>
      <c r="K462" s="24"/>
      <c r="L462" s="24"/>
      <c r="M462" s="24"/>
      <c r="N462" s="24"/>
      <c r="O462" s="24"/>
      <c r="P462" s="24"/>
      <c r="Q462" s="24"/>
    </row>
    <row r="463" spans="1:17" ht="16.2" x14ac:dyDescent="0.35">
      <c r="A463" s="20">
        <v>29210</v>
      </c>
      <c r="B463" s="21">
        <v>12.9</v>
      </c>
      <c r="C463" s="21">
        <v>1.6</v>
      </c>
      <c r="D463" s="21"/>
      <c r="E463" s="21"/>
      <c r="F463" s="21"/>
      <c r="G463" s="21"/>
      <c r="H463" s="21"/>
      <c r="I463" s="21"/>
      <c r="J463" s="24"/>
      <c r="K463" s="24"/>
      <c r="L463" s="24"/>
      <c r="M463" s="24"/>
      <c r="N463" s="24"/>
      <c r="O463" s="24"/>
      <c r="P463" s="24"/>
      <c r="Q463" s="24"/>
    </row>
    <row r="464" spans="1:17" ht="16.2" x14ac:dyDescent="0.35">
      <c r="A464" s="20">
        <v>29217</v>
      </c>
      <c r="B464" s="21">
        <v>12.9</v>
      </c>
      <c r="C464" s="21">
        <v>1.6</v>
      </c>
      <c r="D464" s="21"/>
      <c r="E464" s="21"/>
      <c r="F464" s="21"/>
      <c r="G464" s="21"/>
      <c r="H464" s="21"/>
      <c r="I464" s="21"/>
      <c r="J464" s="24"/>
      <c r="K464" s="24"/>
      <c r="L464" s="24"/>
      <c r="M464" s="24"/>
      <c r="N464" s="24"/>
      <c r="O464" s="24"/>
      <c r="P464" s="24"/>
      <c r="Q464" s="24"/>
    </row>
    <row r="465" spans="1:17" ht="16.2" x14ac:dyDescent="0.35">
      <c r="A465" s="20">
        <v>29224</v>
      </c>
      <c r="B465" s="21">
        <v>12.85</v>
      </c>
      <c r="C465" s="21">
        <v>1.6</v>
      </c>
      <c r="D465" s="21"/>
      <c r="E465" s="21"/>
      <c r="F465" s="21"/>
      <c r="G465" s="21"/>
      <c r="H465" s="21"/>
      <c r="I465" s="21"/>
      <c r="J465" s="24"/>
      <c r="K465" s="24"/>
      <c r="L465" s="24"/>
      <c r="M465" s="24"/>
      <c r="N465" s="24"/>
      <c r="O465" s="24"/>
      <c r="P465" s="24"/>
      <c r="Q465" s="24"/>
    </row>
    <row r="466" spans="1:17" ht="16.2" x14ac:dyDescent="0.35">
      <c r="A466" s="20">
        <v>29231</v>
      </c>
      <c r="B466" s="21">
        <v>12.9</v>
      </c>
      <c r="C466" s="21">
        <v>1.6</v>
      </c>
      <c r="D466" s="21"/>
      <c r="E466" s="21"/>
      <c r="F466" s="21"/>
      <c r="G466" s="21"/>
      <c r="H466" s="21"/>
      <c r="I466" s="21"/>
      <c r="J466" s="24"/>
      <c r="K466" s="24"/>
      <c r="L466" s="24"/>
      <c r="M466" s="24"/>
      <c r="N466" s="24"/>
      <c r="O466" s="24"/>
      <c r="P466" s="24"/>
      <c r="Q466" s="24"/>
    </row>
    <row r="467" spans="1:17" ht="16.2" x14ac:dyDescent="0.35">
      <c r="A467" s="20">
        <v>29238</v>
      </c>
      <c r="B467" s="21">
        <v>12.87</v>
      </c>
      <c r="C467" s="21">
        <v>1.6</v>
      </c>
      <c r="D467" s="21"/>
      <c r="E467" s="21"/>
      <c r="F467" s="21"/>
      <c r="G467" s="21"/>
      <c r="H467" s="21"/>
      <c r="I467" s="21"/>
      <c r="J467" s="24"/>
      <c r="K467" s="24"/>
      <c r="L467" s="24"/>
      <c r="M467" s="24"/>
      <c r="N467" s="24"/>
      <c r="O467" s="24"/>
      <c r="P467" s="24"/>
      <c r="Q467" s="24"/>
    </row>
    <row r="468" spans="1:17" ht="16.2" x14ac:dyDescent="0.35">
      <c r="A468" s="20">
        <v>29245</v>
      </c>
      <c r="B468" s="21">
        <v>12.89</v>
      </c>
      <c r="C468" s="21">
        <v>1.6</v>
      </c>
      <c r="D468" s="21"/>
      <c r="E468" s="21"/>
      <c r="F468" s="21"/>
      <c r="G468" s="21"/>
      <c r="H468" s="21"/>
      <c r="I468" s="21"/>
      <c r="J468" s="24"/>
      <c r="K468" s="24"/>
      <c r="L468" s="24"/>
      <c r="M468" s="24"/>
      <c r="N468" s="24"/>
      <c r="O468" s="24"/>
      <c r="P468" s="24"/>
      <c r="Q468" s="24"/>
    </row>
    <row r="469" spans="1:17" ht="16.2" x14ac:dyDescent="0.35">
      <c r="A469" s="20">
        <v>29252</v>
      </c>
      <c r="B469" s="21">
        <v>12.85</v>
      </c>
      <c r="C469" s="21">
        <v>1.6</v>
      </c>
      <c r="D469" s="21"/>
      <c r="E469" s="21"/>
      <c r="F469" s="21"/>
      <c r="G469" s="21"/>
      <c r="H469" s="21"/>
      <c r="I469" s="21"/>
      <c r="J469" s="24"/>
      <c r="K469" s="24"/>
      <c r="L469" s="24"/>
      <c r="M469" s="24"/>
      <c r="N469" s="24"/>
      <c r="O469" s="24"/>
      <c r="P469" s="24"/>
      <c r="Q469" s="24"/>
    </row>
    <row r="470" spans="1:17" ht="16.2" x14ac:dyDescent="0.35">
      <c r="A470" s="20">
        <v>29259</v>
      </c>
      <c r="B470" s="21">
        <v>12.85</v>
      </c>
      <c r="C470" s="21">
        <v>1.6</v>
      </c>
      <c r="D470" s="21"/>
      <c r="E470" s="21"/>
      <c r="F470" s="21"/>
      <c r="G470" s="21"/>
      <c r="H470" s="21"/>
      <c r="I470" s="21"/>
      <c r="J470" s="24"/>
      <c r="K470" s="24"/>
      <c r="L470" s="24"/>
      <c r="M470" s="24"/>
      <c r="N470" s="24"/>
      <c r="O470" s="24"/>
      <c r="P470" s="24"/>
      <c r="Q470" s="24"/>
    </row>
    <row r="471" spans="1:17" ht="16.2" x14ac:dyDescent="0.35">
      <c r="A471" s="20">
        <v>29266</v>
      </c>
      <c r="B471" s="21">
        <v>12.875</v>
      </c>
      <c r="C471" s="21">
        <v>1.6</v>
      </c>
      <c r="D471" s="21"/>
      <c r="E471" s="21"/>
      <c r="F471" s="21"/>
      <c r="G471" s="21"/>
      <c r="H471" s="21"/>
      <c r="I471" s="21"/>
      <c r="J471" s="24"/>
      <c r="K471" s="24"/>
      <c r="L471" s="24"/>
      <c r="M471" s="24"/>
      <c r="N471" s="24"/>
      <c r="O471" s="24"/>
      <c r="P471" s="24"/>
      <c r="Q471" s="24"/>
    </row>
    <row r="472" spans="1:17" ht="16.2" x14ac:dyDescent="0.35">
      <c r="A472" s="20">
        <v>29273</v>
      </c>
      <c r="B472" s="21">
        <v>13.025</v>
      </c>
      <c r="C472" s="21">
        <v>1.6</v>
      </c>
      <c r="D472" s="21"/>
      <c r="E472" s="21"/>
      <c r="F472" s="21"/>
      <c r="G472" s="21"/>
      <c r="H472" s="21"/>
      <c r="I472" s="21"/>
      <c r="J472" s="24"/>
      <c r="K472" s="24"/>
      <c r="L472" s="24"/>
      <c r="M472" s="24"/>
      <c r="N472" s="24"/>
      <c r="O472" s="24"/>
      <c r="P472" s="24"/>
      <c r="Q472" s="24"/>
    </row>
    <row r="473" spans="1:17" ht="16.2" x14ac:dyDescent="0.35">
      <c r="A473" s="20">
        <v>29280</v>
      </c>
      <c r="B473" s="21">
        <v>13.59</v>
      </c>
      <c r="C473" s="21">
        <v>1.8</v>
      </c>
      <c r="D473" s="21"/>
      <c r="E473" s="21"/>
      <c r="F473" s="21"/>
      <c r="G473" s="21"/>
      <c r="H473" s="21"/>
      <c r="I473" s="21"/>
      <c r="J473" s="24"/>
      <c r="K473" s="24"/>
      <c r="L473" s="24"/>
      <c r="M473" s="24"/>
      <c r="N473" s="24"/>
      <c r="O473" s="24"/>
      <c r="P473" s="24"/>
      <c r="Q473" s="24"/>
    </row>
    <row r="474" spans="1:17" ht="16.2" x14ac:dyDescent="0.35">
      <c r="A474" s="20">
        <v>29287</v>
      </c>
      <c r="B474" s="21">
        <v>14</v>
      </c>
      <c r="C474" s="21">
        <v>1.9</v>
      </c>
      <c r="D474" s="21"/>
      <c r="E474" s="21"/>
      <c r="F474" s="21"/>
      <c r="G474" s="21"/>
      <c r="H474" s="21"/>
      <c r="I474" s="21"/>
      <c r="J474" s="24"/>
      <c r="K474" s="24"/>
      <c r="L474" s="24"/>
      <c r="M474" s="24"/>
      <c r="N474" s="24"/>
      <c r="O474" s="24"/>
      <c r="P474" s="24"/>
      <c r="Q474" s="24"/>
    </row>
    <row r="475" spans="1:17" ht="16.2" x14ac:dyDescent="0.35">
      <c r="A475" s="20">
        <v>29294</v>
      </c>
      <c r="B475" s="21">
        <v>15.4</v>
      </c>
      <c r="C475" s="21">
        <v>1.9</v>
      </c>
      <c r="D475" s="21"/>
      <c r="E475" s="21"/>
      <c r="F475" s="21"/>
      <c r="G475" s="21"/>
      <c r="H475" s="21"/>
      <c r="I475" s="21"/>
      <c r="J475" s="24"/>
      <c r="K475" s="24"/>
      <c r="L475" s="24"/>
      <c r="M475" s="24"/>
      <c r="N475" s="24"/>
      <c r="O475" s="24"/>
      <c r="P475" s="24"/>
      <c r="Q475" s="24"/>
    </row>
    <row r="476" spans="1:17" ht="16.2" x14ac:dyDescent="0.35">
      <c r="A476" s="20">
        <v>29301</v>
      </c>
      <c r="B476" s="21">
        <v>15.7</v>
      </c>
      <c r="C476" s="21">
        <v>2</v>
      </c>
      <c r="D476" s="21"/>
      <c r="E476" s="21"/>
      <c r="F476" s="21"/>
      <c r="G476" s="21"/>
      <c r="H476" s="21"/>
      <c r="I476" s="21"/>
      <c r="J476" s="24"/>
      <c r="K476" s="24"/>
      <c r="L476" s="24"/>
      <c r="M476" s="24"/>
      <c r="N476" s="24"/>
      <c r="O476" s="24"/>
      <c r="P476" s="24"/>
      <c r="Q476" s="24"/>
    </row>
    <row r="477" spans="1:17" ht="16.2"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ht="16.2"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ht="16.2"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ht="16.2"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ht="16.2" x14ac:dyDescent="0.35">
      <c r="A481" s="20">
        <v>29336</v>
      </c>
      <c r="B481" s="21">
        <v>16.25</v>
      </c>
      <c r="C481" s="21">
        <v>1.9</v>
      </c>
      <c r="D481" s="21"/>
      <c r="E481" s="21"/>
      <c r="F481" s="21"/>
      <c r="G481" s="21"/>
      <c r="H481" s="21"/>
      <c r="I481" s="21"/>
      <c r="J481" s="24"/>
      <c r="K481" s="24"/>
      <c r="L481" s="24"/>
      <c r="M481" s="24"/>
      <c r="N481" s="24"/>
      <c r="O481" s="24"/>
      <c r="P481" s="24"/>
      <c r="Q481" s="24"/>
    </row>
    <row r="482" spans="1:17" ht="16.2" x14ac:dyDescent="0.35">
      <c r="A482" s="20">
        <v>29343</v>
      </c>
      <c r="B482" s="21">
        <v>15.9</v>
      </c>
      <c r="C482" s="21">
        <v>1.9</v>
      </c>
      <c r="D482" s="21"/>
      <c r="E482" s="21"/>
      <c r="F482" s="21"/>
      <c r="G482" s="21"/>
      <c r="H482" s="21"/>
      <c r="I482" s="21"/>
      <c r="J482" s="24"/>
      <c r="K482" s="24"/>
      <c r="L482" s="24"/>
      <c r="M482" s="24"/>
      <c r="N482" s="24"/>
      <c r="O482" s="24"/>
      <c r="P482" s="24"/>
      <c r="Q482" s="24"/>
    </row>
    <row r="483" spans="1:17" ht="16.2"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ht="16.2" x14ac:dyDescent="0.35">
      <c r="A484" s="20">
        <v>29357</v>
      </c>
      <c r="B484" s="21">
        <v>14.15</v>
      </c>
      <c r="C484" s="21">
        <v>1.8</v>
      </c>
      <c r="D484" s="21"/>
      <c r="E484" s="21"/>
      <c r="F484" s="21"/>
      <c r="G484" s="21"/>
      <c r="H484" s="21"/>
      <c r="I484" s="21"/>
      <c r="J484" s="24"/>
      <c r="K484" s="24"/>
      <c r="L484" s="24"/>
      <c r="M484" s="24"/>
      <c r="N484" s="24"/>
      <c r="O484" s="24"/>
      <c r="P484" s="24"/>
      <c r="Q484" s="24"/>
    </row>
    <row r="485" spans="1:17" ht="16.2" x14ac:dyDescent="0.35">
      <c r="A485" s="20">
        <v>29364</v>
      </c>
      <c r="B485" s="21">
        <v>13.375</v>
      </c>
      <c r="C485" s="21">
        <v>1.9</v>
      </c>
      <c r="D485" s="21"/>
      <c r="E485" s="21"/>
      <c r="F485" s="21"/>
      <c r="G485" s="21"/>
      <c r="H485" s="21"/>
      <c r="I485" s="21"/>
      <c r="J485" s="24"/>
      <c r="K485" s="24"/>
      <c r="L485" s="24"/>
      <c r="M485" s="24"/>
      <c r="N485" s="24"/>
      <c r="O485" s="24"/>
      <c r="P485" s="24"/>
      <c r="Q485" s="24"/>
    </row>
    <row r="486" spans="1:17" ht="16.2" x14ac:dyDescent="0.35">
      <c r="A486" s="20">
        <v>29371</v>
      </c>
      <c r="B486" s="21">
        <v>13.2</v>
      </c>
      <c r="C486" s="21">
        <v>1.9</v>
      </c>
      <c r="D486" s="21"/>
      <c r="E486" s="21"/>
      <c r="F486" s="21"/>
      <c r="G486" s="21"/>
      <c r="H486" s="21"/>
      <c r="I486" s="21"/>
      <c r="J486" s="24"/>
      <c r="K486" s="24"/>
      <c r="L486" s="24"/>
      <c r="M486" s="24"/>
      <c r="N486" s="24"/>
      <c r="O486" s="24"/>
      <c r="P486" s="24"/>
      <c r="Q486" s="24"/>
    </row>
    <row r="487" spans="1:17" ht="16.2" x14ac:dyDescent="0.35">
      <c r="A487" s="20">
        <v>29378</v>
      </c>
      <c r="B487" s="21">
        <v>13.06</v>
      </c>
      <c r="C487" s="21">
        <v>1.8</v>
      </c>
      <c r="D487" s="21"/>
      <c r="E487" s="21"/>
      <c r="F487" s="21"/>
      <c r="G487" s="21"/>
      <c r="H487" s="21"/>
      <c r="I487" s="21"/>
      <c r="J487" s="24"/>
      <c r="K487" s="24"/>
      <c r="L487" s="24"/>
      <c r="M487" s="24"/>
      <c r="N487" s="24"/>
      <c r="O487" s="24"/>
      <c r="P487" s="24"/>
      <c r="Q487" s="24"/>
    </row>
    <row r="488" spans="1:17" ht="16.2" x14ac:dyDescent="0.35">
      <c r="A488" s="20">
        <v>29385</v>
      </c>
      <c r="B488" s="21">
        <v>12.85</v>
      </c>
      <c r="C488" s="21">
        <v>1.8</v>
      </c>
      <c r="D488" s="21"/>
      <c r="E488" s="21"/>
      <c r="F488" s="21"/>
      <c r="G488" s="21"/>
      <c r="H488" s="21"/>
      <c r="I488" s="21"/>
      <c r="J488" s="24"/>
      <c r="K488" s="24"/>
      <c r="L488" s="24"/>
      <c r="M488" s="24"/>
      <c r="N488" s="24"/>
      <c r="O488" s="24"/>
      <c r="P488" s="24"/>
      <c r="Q488" s="24"/>
    </row>
    <row r="489" spans="1:17" ht="16.2"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ht="16.2" x14ac:dyDescent="0.35">
      <c r="A490" s="20">
        <v>29399</v>
      </c>
      <c r="B490" s="21">
        <v>12.35</v>
      </c>
      <c r="C490" s="21">
        <v>1.7</v>
      </c>
      <c r="D490" s="21"/>
      <c r="E490" s="21"/>
      <c r="F490" s="21"/>
      <c r="G490" s="21"/>
      <c r="H490" s="21"/>
      <c r="I490" s="21"/>
      <c r="J490" s="24"/>
      <c r="K490" s="24"/>
      <c r="L490" s="24"/>
      <c r="M490" s="24"/>
      <c r="N490" s="24"/>
      <c r="O490" s="24"/>
      <c r="P490" s="24"/>
      <c r="Q490" s="24"/>
    </row>
    <row r="491" spans="1:17" ht="16.2"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ht="16.2" x14ac:dyDescent="0.35">
      <c r="A492" s="20">
        <v>29413</v>
      </c>
      <c r="B492" s="21">
        <v>12.225</v>
      </c>
      <c r="C492" s="21">
        <v>1.7</v>
      </c>
      <c r="D492" s="21"/>
      <c r="E492" s="21"/>
      <c r="F492" s="21"/>
      <c r="G492" s="21"/>
      <c r="H492" s="21"/>
      <c r="I492" s="21"/>
      <c r="J492" s="24"/>
      <c r="K492" s="24"/>
      <c r="L492" s="24"/>
      <c r="M492" s="24"/>
      <c r="N492" s="24"/>
      <c r="O492" s="24"/>
      <c r="P492" s="24"/>
      <c r="Q492" s="24"/>
    </row>
    <row r="493" spans="1:17" ht="16.2"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ht="16.2"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ht="16.2" x14ac:dyDescent="0.35">
      <c r="A495" s="20">
        <v>29434</v>
      </c>
      <c r="B495" s="21">
        <v>12.25</v>
      </c>
      <c r="C495" s="21">
        <v>1.8</v>
      </c>
      <c r="D495" s="21"/>
      <c r="E495" s="21"/>
      <c r="F495" s="21"/>
      <c r="G495" s="21"/>
      <c r="H495" s="21"/>
      <c r="I495" s="21"/>
      <c r="J495" s="24"/>
      <c r="K495" s="24"/>
      <c r="L495" s="24"/>
      <c r="M495" s="24"/>
      <c r="N495" s="24"/>
      <c r="O495" s="24"/>
      <c r="P495" s="24"/>
      <c r="Q495" s="24"/>
    </row>
    <row r="496" spans="1:17" ht="16.2" x14ac:dyDescent="0.35">
      <c r="A496" s="20">
        <v>29441</v>
      </c>
      <c r="B496" s="21">
        <v>12.25</v>
      </c>
      <c r="C496" s="21">
        <v>1.8</v>
      </c>
      <c r="D496" s="21"/>
      <c r="E496" s="21"/>
      <c r="F496" s="21"/>
      <c r="G496" s="21"/>
      <c r="H496" s="21"/>
      <c r="I496" s="21"/>
      <c r="J496" s="24"/>
      <c r="K496" s="24"/>
      <c r="L496" s="24"/>
      <c r="M496" s="24"/>
      <c r="N496" s="24"/>
      <c r="O496" s="24"/>
      <c r="P496" s="24"/>
      <c r="Q496" s="24"/>
    </row>
    <row r="497" spans="1:17" ht="16.2" x14ac:dyDescent="0.35">
      <c r="A497" s="20">
        <v>29448</v>
      </c>
      <c r="B497" s="21">
        <v>12.55</v>
      </c>
      <c r="C497" s="21">
        <v>1.7</v>
      </c>
      <c r="D497" s="21"/>
      <c r="E497" s="21"/>
      <c r="F497" s="21"/>
      <c r="G497" s="21"/>
      <c r="H497" s="21"/>
      <c r="I497" s="21"/>
      <c r="J497" s="24"/>
      <c r="K497" s="24"/>
      <c r="L497" s="24"/>
      <c r="M497" s="24"/>
      <c r="N497" s="24"/>
      <c r="O497" s="24"/>
      <c r="P497" s="24"/>
      <c r="Q497" s="24"/>
    </row>
    <row r="498" spans="1:17" ht="16.2" x14ac:dyDescent="0.35">
      <c r="A498" s="20">
        <v>29455</v>
      </c>
      <c r="B498" s="21">
        <v>12.8</v>
      </c>
      <c r="C498" s="21">
        <v>1.7</v>
      </c>
      <c r="D498" s="21"/>
      <c r="E498" s="21"/>
      <c r="F498" s="21"/>
      <c r="G498" s="21"/>
      <c r="H498" s="21"/>
      <c r="I498" s="21"/>
      <c r="J498" s="24"/>
      <c r="K498" s="24"/>
      <c r="L498" s="24"/>
      <c r="M498" s="24"/>
      <c r="N498" s="24"/>
      <c r="O498" s="24"/>
      <c r="P498" s="24"/>
      <c r="Q498" s="24"/>
    </row>
    <row r="499" spans="1:17" ht="16.2" x14ac:dyDescent="0.35">
      <c r="A499" s="20">
        <v>29462</v>
      </c>
      <c r="B499" s="21">
        <v>12.95</v>
      </c>
      <c r="C499" s="21">
        <v>1.7</v>
      </c>
      <c r="D499" s="21"/>
      <c r="E499" s="21"/>
      <c r="F499" s="21"/>
      <c r="G499" s="21"/>
      <c r="H499" s="21"/>
      <c r="I499" s="21"/>
      <c r="J499" s="24"/>
      <c r="K499" s="24"/>
      <c r="L499" s="24"/>
      <c r="M499" s="24"/>
      <c r="N499" s="24"/>
      <c r="O499" s="24"/>
      <c r="P499" s="24"/>
      <c r="Q499" s="24"/>
    </row>
    <row r="500" spans="1:17" ht="16.2" x14ac:dyDescent="0.35">
      <c r="A500" s="20">
        <v>29469</v>
      </c>
      <c r="B500" s="21">
        <v>13.025</v>
      </c>
      <c r="C500" s="21">
        <v>1.7</v>
      </c>
      <c r="D500" s="21"/>
      <c r="E500" s="21"/>
      <c r="F500" s="21"/>
      <c r="G500" s="21"/>
      <c r="H500" s="21"/>
      <c r="I500" s="21"/>
      <c r="J500" s="24"/>
      <c r="K500" s="24"/>
      <c r="L500" s="24"/>
      <c r="M500" s="24"/>
      <c r="N500" s="24"/>
      <c r="O500" s="24"/>
      <c r="P500" s="24"/>
      <c r="Q500" s="24"/>
    </row>
    <row r="501" spans="1:17" ht="16.2"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ht="16.2" x14ac:dyDescent="0.35">
      <c r="A502" s="20">
        <v>29483</v>
      </c>
      <c r="B502" s="21">
        <v>13.25</v>
      </c>
      <c r="C502" s="21">
        <v>1.7</v>
      </c>
      <c r="D502" s="21"/>
      <c r="E502" s="21"/>
      <c r="F502" s="21"/>
      <c r="G502" s="21"/>
      <c r="H502" s="21"/>
      <c r="I502" s="21"/>
      <c r="J502" s="24"/>
      <c r="K502" s="24"/>
      <c r="L502" s="24"/>
      <c r="M502" s="24"/>
      <c r="N502" s="24"/>
      <c r="O502" s="24"/>
      <c r="P502" s="24"/>
      <c r="Q502" s="24"/>
    </row>
    <row r="503" spans="1:17" ht="16.2"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ht="16.2" x14ac:dyDescent="0.35">
      <c r="A504" s="20">
        <v>29497</v>
      </c>
      <c r="B504" s="21">
        <v>13.6</v>
      </c>
      <c r="C504" s="21">
        <v>1.8</v>
      </c>
      <c r="D504" s="21"/>
      <c r="E504" s="21"/>
      <c r="F504" s="21"/>
      <c r="G504" s="21"/>
      <c r="H504" s="21"/>
      <c r="I504" s="21"/>
      <c r="J504" s="24"/>
      <c r="K504" s="24"/>
      <c r="L504" s="24"/>
      <c r="M504" s="24"/>
      <c r="N504" s="24"/>
      <c r="O504" s="24"/>
      <c r="P504" s="24"/>
      <c r="Q504" s="24"/>
    </row>
    <row r="505" spans="1:17" ht="16.2" x14ac:dyDescent="0.35">
      <c r="A505" s="20">
        <v>29504</v>
      </c>
      <c r="B505" s="21">
        <v>13.725</v>
      </c>
      <c r="C505" s="21">
        <v>1.7</v>
      </c>
      <c r="D505" s="21"/>
      <c r="E505" s="21"/>
      <c r="F505" s="21"/>
      <c r="G505" s="21"/>
      <c r="H505" s="21"/>
      <c r="I505" s="21"/>
      <c r="J505" s="24"/>
      <c r="K505" s="24"/>
      <c r="L505" s="24"/>
      <c r="M505" s="24"/>
      <c r="N505" s="24"/>
      <c r="O505" s="24"/>
      <c r="P505" s="24"/>
      <c r="Q505" s="24"/>
    </row>
    <row r="506" spans="1:17" ht="16.2" x14ac:dyDescent="0.35">
      <c r="A506" s="20">
        <v>29511</v>
      </c>
      <c r="B506" s="21">
        <v>13.775</v>
      </c>
      <c r="C506" s="21">
        <v>1.8</v>
      </c>
      <c r="D506" s="21"/>
      <c r="E506" s="21"/>
      <c r="F506" s="21"/>
      <c r="G506" s="21"/>
      <c r="H506" s="21"/>
      <c r="I506" s="21"/>
      <c r="J506" s="24"/>
      <c r="K506" s="24"/>
      <c r="L506" s="24"/>
      <c r="M506" s="24"/>
      <c r="N506" s="24"/>
      <c r="O506" s="24"/>
      <c r="P506" s="24"/>
      <c r="Q506" s="24"/>
    </row>
    <row r="507" spans="1:17" ht="16.2" x14ac:dyDescent="0.35">
      <c r="A507" s="20">
        <v>29518</v>
      </c>
      <c r="B507" s="21">
        <v>13.85</v>
      </c>
      <c r="C507" s="21">
        <v>1.7</v>
      </c>
      <c r="D507" s="21"/>
      <c r="E507" s="21"/>
      <c r="F507" s="21"/>
      <c r="G507" s="21"/>
      <c r="H507" s="21"/>
      <c r="I507" s="21"/>
      <c r="J507" s="24"/>
      <c r="K507" s="24"/>
      <c r="L507" s="24"/>
      <c r="M507" s="24"/>
      <c r="N507" s="24"/>
      <c r="O507" s="24"/>
      <c r="P507" s="24"/>
      <c r="Q507" s="24"/>
    </row>
    <row r="508" spans="1:17" ht="16.2" x14ac:dyDescent="0.35">
      <c r="A508" s="20">
        <v>29525</v>
      </c>
      <c r="B508" s="21">
        <v>14</v>
      </c>
      <c r="C508" s="21">
        <v>1.7</v>
      </c>
      <c r="D508" s="21"/>
      <c r="E508" s="21"/>
      <c r="F508" s="21"/>
      <c r="G508" s="21"/>
      <c r="H508" s="21"/>
      <c r="I508" s="21"/>
      <c r="J508" s="24"/>
      <c r="K508" s="24"/>
      <c r="L508" s="24"/>
      <c r="M508" s="24"/>
      <c r="N508" s="24"/>
      <c r="O508" s="24"/>
      <c r="P508" s="24"/>
      <c r="Q508" s="24"/>
    </row>
    <row r="509" spans="1:17" ht="16.2"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ht="16.2"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ht="16.2" x14ac:dyDescent="0.35">
      <c r="A511" s="20">
        <v>29546</v>
      </c>
      <c r="B511" s="21">
        <v>14.275</v>
      </c>
      <c r="C511" s="21">
        <v>1.7</v>
      </c>
      <c r="D511" s="21"/>
      <c r="E511" s="21"/>
      <c r="F511" s="21"/>
      <c r="G511" s="21"/>
      <c r="H511" s="21"/>
      <c r="I511" s="21"/>
      <c r="J511" s="24"/>
      <c r="K511" s="24"/>
      <c r="L511" s="24"/>
      <c r="M511" s="24"/>
      <c r="N511" s="24"/>
      <c r="O511" s="24"/>
      <c r="P511" s="24"/>
      <c r="Q511" s="24"/>
    </row>
    <row r="512" spans="1:17" ht="16.2" x14ac:dyDescent="0.35">
      <c r="A512" s="20">
        <v>29553</v>
      </c>
      <c r="B512" s="21">
        <v>14.275</v>
      </c>
      <c r="C512" s="21">
        <v>1.7</v>
      </c>
      <c r="D512" s="21"/>
      <c r="E512" s="21"/>
      <c r="F512" s="21"/>
      <c r="G512" s="21"/>
      <c r="H512" s="21"/>
      <c r="I512" s="21"/>
      <c r="J512" s="24"/>
      <c r="K512" s="24"/>
      <c r="L512" s="24"/>
      <c r="M512" s="24"/>
      <c r="N512" s="24"/>
      <c r="O512" s="24"/>
      <c r="P512" s="24"/>
      <c r="Q512" s="24"/>
    </row>
    <row r="513" spans="1:17" ht="16.2"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ht="16.2"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ht="16.2" x14ac:dyDescent="0.35">
      <c r="A515" s="20">
        <v>29574</v>
      </c>
      <c r="B515" s="21">
        <v>14.95</v>
      </c>
      <c r="C515" s="21">
        <v>1.7</v>
      </c>
      <c r="D515" s="21"/>
      <c r="E515" s="21"/>
      <c r="F515" s="21"/>
      <c r="G515" s="21"/>
      <c r="H515" s="21"/>
      <c r="I515" s="21"/>
      <c r="J515" s="24"/>
      <c r="K515" s="24"/>
      <c r="L515" s="24"/>
      <c r="M515" s="24"/>
      <c r="N515" s="24"/>
      <c r="O515" s="24"/>
      <c r="P515" s="24"/>
      <c r="Q515" s="24"/>
    </row>
    <row r="516" spans="1:17" ht="16.2" x14ac:dyDescent="0.35">
      <c r="A516" s="20">
        <v>29581</v>
      </c>
      <c r="B516" s="21">
        <v>14.95</v>
      </c>
      <c r="C516" s="21">
        <v>1.7</v>
      </c>
      <c r="D516" s="21"/>
      <c r="E516" s="21"/>
      <c r="F516" s="21"/>
      <c r="G516" s="21"/>
      <c r="H516" s="21"/>
      <c r="I516" s="21"/>
      <c r="J516" s="24"/>
      <c r="K516" s="24"/>
      <c r="L516" s="24"/>
      <c r="M516" s="24"/>
      <c r="N516" s="24"/>
      <c r="O516" s="24"/>
      <c r="P516" s="24"/>
      <c r="Q516" s="24"/>
    </row>
    <row r="517" spans="1:17" ht="16.2" x14ac:dyDescent="0.35">
      <c r="A517" s="20">
        <v>29588</v>
      </c>
      <c r="B517" s="21">
        <v>14.95</v>
      </c>
      <c r="C517" s="21">
        <v>2</v>
      </c>
      <c r="D517" s="21"/>
      <c r="E517" s="21"/>
      <c r="F517" s="21"/>
      <c r="G517" s="21"/>
      <c r="H517" s="21"/>
      <c r="I517" s="21"/>
      <c r="J517" s="24"/>
      <c r="K517" s="24"/>
      <c r="L517" s="24"/>
      <c r="M517" s="24"/>
      <c r="N517" s="24"/>
      <c r="O517" s="24"/>
      <c r="P517" s="24"/>
      <c r="Q517" s="24"/>
    </row>
    <row r="518" spans="1:17" ht="16.2" x14ac:dyDescent="0.35">
      <c r="A518" s="20">
        <v>29595</v>
      </c>
      <c r="B518" s="21">
        <v>14.8</v>
      </c>
      <c r="C518" s="21">
        <v>2</v>
      </c>
      <c r="D518" s="21"/>
      <c r="E518" s="21"/>
      <c r="F518" s="21"/>
      <c r="G518" s="21"/>
      <c r="H518" s="21"/>
      <c r="I518" s="21"/>
      <c r="J518" s="24"/>
      <c r="K518" s="24"/>
      <c r="L518" s="24"/>
      <c r="M518" s="24"/>
      <c r="N518" s="24"/>
      <c r="O518" s="24"/>
      <c r="P518" s="24"/>
      <c r="Q518" s="24"/>
    </row>
    <row r="519" spans="1:17" ht="16.2" x14ac:dyDescent="0.35">
      <c r="A519" s="20">
        <v>29602</v>
      </c>
      <c r="B519" s="21">
        <v>14.85</v>
      </c>
      <c r="C519" s="21">
        <v>2</v>
      </c>
      <c r="D519" s="21"/>
      <c r="E519" s="21"/>
      <c r="F519" s="21"/>
      <c r="G519" s="21"/>
      <c r="H519" s="21"/>
      <c r="I519" s="21"/>
      <c r="J519" s="24"/>
      <c r="K519" s="24"/>
      <c r="L519" s="24"/>
      <c r="M519" s="24"/>
      <c r="N519" s="24"/>
      <c r="O519" s="24"/>
      <c r="P519" s="24"/>
      <c r="Q519" s="24"/>
    </row>
    <row r="520" spans="1:17" ht="16.2" x14ac:dyDescent="0.35">
      <c r="A520" s="20">
        <v>29609</v>
      </c>
      <c r="B520" s="21">
        <v>14.85</v>
      </c>
      <c r="C520" s="21">
        <v>2</v>
      </c>
      <c r="D520" s="21"/>
      <c r="E520" s="21"/>
      <c r="F520" s="21"/>
      <c r="G520" s="21"/>
      <c r="H520" s="21"/>
      <c r="I520" s="21"/>
      <c r="J520" s="24"/>
      <c r="K520" s="24"/>
      <c r="L520" s="24"/>
      <c r="M520" s="24"/>
      <c r="N520" s="24"/>
      <c r="O520" s="24"/>
      <c r="P520" s="24"/>
      <c r="Q520" s="24"/>
    </row>
    <row r="521" spans="1:17" ht="16.2" x14ac:dyDescent="0.35">
      <c r="A521" s="20">
        <v>29616</v>
      </c>
      <c r="B521" s="21">
        <v>15.07</v>
      </c>
      <c r="C521" s="21">
        <v>2</v>
      </c>
      <c r="D521" s="21"/>
      <c r="E521" s="21"/>
      <c r="F521" s="21"/>
      <c r="G521" s="21"/>
      <c r="H521" s="21"/>
      <c r="I521" s="21"/>
      <c r="J521" s="24"/>
      <c r="K521" s="24"/>
      <c r="L521" s="24"/>
      <c r="M521" s="24"/>
      <c r="N521" s="24"/>
      <c r="O521" s="24"/>
      <c r="P521" s="24"/>
      <c r="Q521" s="24"/>
    </row>
    <row r="522" spans="1:17" ht="16.2" x14ac:dyDescent="0.35">
      <c r="A522" s="20">
        <v>29623</v>
      </c>
      <c r="B522" s="21">
        <v>15</v>
      </c>
      <c r="C522" s="21">
        <v>2</v>
      </c>
      <c r="D522" s="21"/>
      <c r="E522" s="21"/>
      <c r="F522" s="21"/>
      <c r="G522" s="21"/>
      <c r="H522" s="21"/>
      <c r="I522" s="21"/>
      <c r="J522" s="24"/>
      <c r="K522" s="24"/>
      <c r="L522" s="24"/>
      <c r="M522" s="24"/>
      <c r="N522" s="24"/>
      <c r="O522" s="24"/>
      <c r="P522" s="24"/>
      <c r="Q522" s="24"/>
    </row>
    <row r="523" spans="1:17" ht="16.2" x14ac:dyDescent="0.35">
      <c r="A523" s="20">
        <v>29630</v>
      </c>
      <c r="B523" s="21">
        <v>15.03</v>
      </c>
      <c r="C523" s="21">
        <v>2</v>
      </c>
      <c r="D523" s="21"/>
      <c r="E523" s="21"/>
      <c r="F523" s="21"/>
      <c r="G523" s="21"/>
      <c r="H523" s="21"/>
      <c r="I523" s="21"/>
      <c r="J523" s="24"/>
      <c r="K523" s="24"/>
      <c r="L523" s="24"/>
      <c r="M523" s="24"/>
      <c r="N523" s="24"/>
      <c r="O523" s="24"/>
      <c r="P523" s="24"/>
      <c r="Q523" s="24"/>
    </row>
    <row r="524" spans="1:17" ht="16.2" x14ac:dyDescent="0.35">
      <c r="A524" s="20">
        <v>29637</v>
      </c>
      <c r="B524" s="21">
        <v>15.2</v>
      </c>
      <c r="C524" s="21">
        <v>2</v>
      </c>
      <c r="D524" s="21"/>
      <c r="E524" s="21"/>
      <c r="F524" s="21"/>
      <c r="G524" s="21"/>
      <c r="H524" s="21"/>
      <c r="I524" s="21"/>
      <c r="J524" s="24"/>
      <c r="K524" s="24"/>
      <c r="L524" s="24"/>
      <c r="M524" s="24"/>
      <c r="N524" s="24"/>
      <c r="O524" s="24"/>
      <c r="P524" s="24"/>
      <c r="Q524" s="24"/>
    </row>
    <row r="525" spans="1:17" ht="16.2" x14ac:dyDescent="0.35">
      <c r="A525" s="20">
        <v>29644</v>
      </c>
      <c r="B525" s="21">
        <v>15.3</v>
      </c>
      <c r="C525" s="21">
        <v>2</v>
      </c>
      <c r="D525" s="21"/>
      <c r="E525" s="21"/>
      <c r="F525" s="21"/>
      <c r="G525" s="21"/>
      <c r="H525" s="21"/>
      <c r="I525" s="21"/>
      <c r="J525" s="24"/>
      <c r="K525" s="24"/>
      <c r="L525" s="24"/>
      <c r="M525" s="24"/>
      <c r="N525" s="24"/>
      <c r="O525" s="24"/>
      <c r="P525" s="24"/>
      <c r="Q525" s="24"/>
    </row>
    <row r="526" spans="1:17" ht="16.2" x14ac:dyDescent="0.35">
      <c r="A526" s="20">
        <v>29651</v>
      </c>
      <c r="B526" s="21">
        <v>15.4</v>
      </c>
      <c r="C526" s="21">
        <v>2</v>
      </c>
      <c r="D526" s="21"/>
      <c r="E526" s="21"/>
      <c r="F526" s="21"/>
      <c r="G526" s="21"/>
      <c r="H526" s="21"/>
      <c r="I526" s="21"/>
      <c r="J526" s="24"/>
      <c r="K526" s="24"/>
      <c r="L526" s="24"/>
      <c r="M526" s="24"/>
      <c r="N526" s="24"/>
      <c r="O526" s="24"/>
      <c r="P526" s="24"/>
      <c r="Q526" s="24"/>
    </row>
    <row r="527" spans="1:17" ht="16.2" x14ac:dyDescent="0.35">
      <c r="A527" s="20">
        <v>29658</v>
      </c>
      <c r="B527" s="21">
        <v>15.4</v>
      </c>
      <c r="C527" s="21">
        <v>2.1</v>
      </c>
      <c r="D527" s="21"/>
      <c r="E527" s="21"/>
      <c r="F527" s="21"/>
      <c r="G527" s="21"/>
      <c r="H527" s="21"/>
      <c r="I527" s="21"/>
      <c r="J527" s="24"/>
      <c r="K527" s="24"/>
      <c r="L527" s="24"/>
      <c r="M527" s="24"/>
      <c r="N527" s="24"/>
      <c r="O527" s="24"/>
      <c r="P527" s="24"/>
      <c r="Q527" s="24"/>
    </row>
    <row r="528" spans="1:17" ht="16.2" x14ac:dyDescent="0.35">
      <c r="A528" s="20">
        <v>29665</v>
      </c>
      <c r="B528" s="21">
        <v>15.4</v>
      </c>
      <c r="C528" s="21">
        <v>2</v>
      </c>
      <c r="D528" s="21"/>
      <c r="E528" s="21"/>
      <c r="F528" s="21"/>
      <c r="G528" s="21"/>
      <c r="H528" s="21"/>
      <c r="I528" s="21"/>
      <c r="J528" s="24"/>
      <c r="K528" s="24"/>
      <c r="L528" s="24"/>
      <c r="M528" s="24"/>
      <c r="N528" s="24"/>
      <c r="O528" s="24"/>
      <c r="P528" s="24"/>
      <c r="Q528" s="24"/>
    </row>
    <row r="529" spans="1:17" ht="16.2" x14ac:dyDescent="0.35">
      <c r="A529" s="20">
        <v>29672</v>
      </c>
      <c r="B529" s="21">
        <v>15.4</v>
      </c>
      <c r="C529" s="21">
        <v>2</v>
      </c>
      <c r="D529" s="21"/>
      <c r="E529" s="21"/>
      <c r="F529" s="21"/>
      <c r="G529" s="21"/>
      <c r="H529" s="21"/>
      <c r="I529" s="21"/>
      <c r="J529" s="24"/>
      <c r="K529" s="24"/>
      <c r="L529" s="24"/>
      <c r="M529" s="24"/>
      <c r="N529" s="24"/>
      <c r="O529" s="24"/>
      <c r="P529" s="24"/>
      <c r="Q529" s="24"/>
    </row>
    <row r="530" spans="1:17" ht="16.2" x14ac:dyDescent="0.35">
      <c r="A530" s="20">
        <v>29679</v>
      </c>
      <c r="B530" s="21">
        <v>15.4</v>
      </c>
      <c r="C530" s="21">
        <v>2</v>
      </c>
      <c r="D530" s="21"/>
      <c r="E530" s="21"/>
      <c r="F530" s="21"/>
      <c r="G530" s="21"/>
      <c r="H530" s="21"/>
      <c r="I530" s="21"/>
      <c r="J530" s="24"/>
      <c r="K530" s="24"/>
      <c r="L530" s="24"/>
      <c r="M530" s="24"/>
      <c r="N530" s="24"/>
      <c r="O530" s="24"/>
      <c r="P530" s="24"/>
      <c r="Q530" s="24"/>
    </row>
    <row r="531" spans="1:17" ht="16.2" x14ac:dyDescent="0.35">
      <c r="A531" s="20">
        <v>29686</v>
      </c>
      <c r="B531" s="21">
        <v>15.5</v>
      </c>
      <c r="C531" s="21">
        <v>2</v>
      </c>
      <c r="D531" s="21"/>
      <c r="E531" s="21"/>
      <c r="F531" s="21"/>
      <c r="G531" s="21"/>
      <c r="H531" s="21"/>
      <c r="I531" s="21"/>
      <c r="J531" s="24"/>
      <c r="K531" s="24"/>
      <c r="L531" s="24"/>
      <c r="M531" s="24"/>
      <c r="N531" s="24"/>
      <c r="O531" s="24"/>
      <c r="P531" s="24"/>
      <c r="Q531" s="24"/>
    </row>
    <row r="532" spans="1:17" ht="16.2" x14ac:dyDescent="0.35">
      <c r="A532" s="20">
        <v>29693</v>
      </c>
      <c r="B532" s="21">
        <v>15.65</v>
      </c>
      <c r="C532" s="21">
        <v>2</v>
      </c>
      <c r="D532" s="21"/>
      <c r="E532" s="21"/>
      <c r="F532" s="21"/>
      <c r="G532" s="21"/>
      <c r="H532" s="21"/>
      <c r="I532" s="21"/>
      <c r="J532" s="24"/>
      <c r="K532" s="24"/>
      <c r="L532" s="24"/>
      <c r="M532" s="24"/>
      <c r="N532" s="24"/>
      <c r="O532" s="24"/>
      <c r="P532" s="24"/>
      <c r="Q532" s="24"/>
    </row>
    <row r="533" spans="1:17" ht="16.2" x14ac:dyDescent="0.35">
      <c r="A533" s="20">
        <v>29700</v>
      </c>
      <c r="B533" s="21">
        <v>15.77</v>
      </c>
      <c r="C533" s="21">
        <v>2.1</v>
      </c>
      <c r="D533" s="21"/>
      <c r="E533" s="21"/>
      <c r="F533" s="21"/>
      <c r="G533" s="21"/>
      <c r="H533" s="21"/>
      <c r="I533" s="21"/>
      <c r="J533" s="24"/>
      <c r="K533" s="24"/>
      <c r="L533" s="24"/>
      <c r="M533" s="24"/>
      <c r="N533" s="24"/>
      <c r="O533" s="24"/>
      <c r="P533" s="24"/>
      <c r="Q533" s="24"/>
    </row>
    <row r="534" spans="1:17" ht="16.2" x14ac:dyDescent="0.35">
      <c r="A534" s="20">
        <v>29707</v>
      </c>
      <c r="B534" s="21">
        <v>15.82</v>
      </c>
      <c r="C534" s="21">
        <v>1.9</v>
      </c>
      <c r="D534" s="21"/>
      <c r="E534" s="21"/>
      <c r="F534" s="21"/>
      <c r="G534" s="21"/>
      <c r="H534" s="21"/>
      <c r="I534" s="21"/>
      <c r="J534" s="24"/>
      <c r="K534" s="24"/>
      <c r="L534" s="24"/>
      <c r="M534" s="24"/>
      <c r="N534" s="24"/>
      <c r="O534" s="24"/>
      <c r="P534" s="24"/>
      <c r="Q534" s="24"/>
    </row>
    <row r="535" spans="1:17" ht="16.2" x14ac:dyDescent="0.35">
      <c r="A535" s="20">
        <v>29714</v>
      </c>
      <c r="B535" s="21">
        <v>16.12</v>
      </c>
      <c r="C535" s="21">
        <v>2.1</v>
      </c>
      <c r="D535" s="21"/>
      <c r="E535" s="21"/>
      <c r="F535" s="21"/>
      <c r="G535" s="21"/>
      <c r="H535" s="21"/>
      <c r="I535" s="21"/>
      <c r="J535" s="24"/>
      <c r="K535" s="24"/>
      <c r="L535" s="24"/>
      <c r="M535" s="24"/>
      <c r="N535" s="24"/>
      <c r="O535" s="24"/>
      <c r="P535" s="24"/>
      <c r="Q535" s="24"/>
    </row>
    <row r="536" spans="1:17" ht="16.2" x14ac:dyDescent="0.35">
      <c r="A536" s="20">
        <v>29721</v>
      </c>
      <c r="B536" s="21">
        <v>16.64</v>
      </c>
      <c r="C536" s="21">
        <v>2.1</v>
      </c>
      <c r="D536" s="21"/>
      <c r="E536" s="21"/>
      <c r="F536" s="21"/>
      <c r="G536" s="21"/>
      <c r="H536" s="21"/>
      <c r="I536" s="21"/>
      <c r="J536" s="24"/>
      <c r="K536" s="24"/>
      <c r="L536" s="24"/>
      <c r="M536" s="24"/>
      <c r="N536" s="24"/>
      <c r="O536" s="24"/>
      <c r="P536" s="24"/>
      <c r="Q536" s="24"/>
    </row>
    <row r="537" spans="1:17" ht="16.2" x14ac:dyDescent="0.35">
      <c r="A537" s="20">
        <v>29728</v>
      </c>
      <c r="B537" s="21">
        <v>16.63</v>
      </c>
      <c r="C537" s="21">
        <v>2.1</v>
      </c>
      <c r="D537" s="21"/>
      <c r="E537" s="21"/>
      <c r="F537" s="21"/>
      <c r="G537" s="21"/>
      <c r="H537" s="21"/>
      <c r="I537" s="21"/>
      <c r="J537" s="24"/>
      <c r="K537" s="24"/>
      <c r="L537" s="24"/>
      <c r="M537" s="24"/>
      <c r="N537" s="24"/>
      <c r="O537" s="24"/>
      <c r="P537" s="24"/>
      <c r="Q537" s="24"/>
    </row>
    <row r="538" spans="1:17" ht="16.2" x14ac:dyDescent="0.35">
      <c r="A538" s="20">
        <v>29735</v>
      </c>
      <c r="B538" s="21">
        <v>16.8</v>
      </c>
      <c r="C538" s="21">
        <v>2.1</v>
      </c>
      <c r="D538" s="21"/>
      <c r="E538" s="21"/>
      <c r="F538" s="21"/>
      <c r="G538" s="21"/>
      <c r="H538" s="21"/>
      <c r="I538" s="21"/>
      <c r="J538" s="24"/>
      <c r="K538" s="24"/>
      <c r="L538" s="24"/>
      <c r="M538" s="24"/>
      <c r="N538" s="24"/>
      <c r="O538" s="24"/>
      <c r="P538" s="24"/>
      <c r="Q538" s="24"/>
    </row>
    <row r="539" spans="1:17" ht="16.2"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ht="16.2"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ht="16.2" x14ac:dyDescent="0.35">
      <c r="A541" s="20">
        <v>29756</v>
      </c>
      <c r="B541" s="21">
        <v>16.71</v>
      </c>
      <c r="C541" s="21">
        <v>2.1</v>
      </c>
      <c r="D541" s="21"/>
      <c r="E541" s="21"/>
      <c r="F541" s="21"/>
      <c r="G541" s="21"/>
      <c r="H541" s="21"/>
      <c r="I541" s="21"/>
      <c r="J541" s="24"/>
      <c r="K541" s="24"/>
      <c r="L541" s="24"/>
      <c r="M541" s="24"/>
      <c r="N541" s="24"/>
      <c r="O541" s="24"/>
      <c r="P541" s="24"/>
      <c r="Q541" s="24"/>
    </row>
    <row r="542" spans="1:17" ht="16.2" x14ac:dyDescent="0.35">
      <c r="A542" s="20">
        <v>29763</v>
      </c>
      <c r="B542" s="21">
        <v>16.62</v>
      </c>
      <c r="C542" s="21">
        <v>2.1</v>
      </c>
      <c r="D542" s="21"/>
      <c r="E542" s="21"/>
      <c r="F542" s="21"/>
      <c r="G542" s="21"/>
      <c r="H542" s="21"/>
      <c r="I542" s="21"/>
      <c r="J542" s="24"/>
      <c r="K542" s="24"/>
      <c r="L542" s="24"/>
      <c r="M542" s="24"/>
      <c r="N542" s="24"/>
      <c r="O542" s="24"/>
      <c r="P542" s="24"/>
      <c r="Q542" s="24"/>
    </row>
    <row r="543" spans="1:17" ht="16.2" x14ac:dyDescent="0.35">
      <c r="A543" s="20">
        <v>29770</v>
      </c>
      <c r="B543" s="21">
        <v>16.64</v>
      </c>
      <c r="C543" s="21">
        <v>2.1</v>
      </c>
      <c r="D543" s="21"/>
      <c r="E543" s="21"/>
      <c r="F543" s="21"/>
      <c r="G543" s="21"/>
      <c r="H543" s="21"/>
      <c r="I543" s="21"/>
      <c r="J543" s="24"/>
      <c r="K543" s="24"/>
      <c r="L543" s="24"/>
      <c r="M543" s="24"/>
      <c r="N543" s="24"/>
      <c r="O543" s="24"/>
      <c r="P543" s="24"/>
      <c r="Q543" s="24"/>
    </row>
    <row r="544" spans="1:17" ht="16.2"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ht="16.2"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ht="16.2" x14ac:dyDescent="0.35">
      <c r="A546" s="20">
        <v>29791</v>
      </c>
      <c r="B546" s="21">
        <v>16.88</v>
      </c>
      <c r="C546" s="21">
        <v>2.1</v>
      </c>
      <c r="D546" s="21"/>
      <c r="E546" s="21"/>
      <c r="F546" s="21"/>
      <c r="G546" s="21"/>
      <c r="H546" s="21"/>
      <c r="I546" s="21"/>
      <c r="J546" s="24"/>
      <c r="K546" s="24"/>
      <c r="L546" s="24"/>
      <c r="M546" s="24"/>
      <c r="N546" s="24"/>
      <c r="O546" s="24"/>
      <c r="P546" s="24"/>
      <c r="Q546" s="24"/>
    </row>
    <row r="547" spans="1:17" ht="16.2"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ht="16.2" x14ac:dyDescent="0.35">
      <c r="A548" s="20">
        <v>29805</v>
      </c>
      <c r="B548" s="21">
        <v>17.13</v>
      </c>
      <c r="C548" s="21">
        <v>2</v>
      </c>
      <c r="D548" s="21"/>
      <c r="E548" s="21"/>
      <c r="F548" s="21"/>
      <c r="G548" s="21"/>
      <c r="H548" s="21"/>
      <c r="I548" s="21"/>
      <c r="J548" s="24"/>
      <c r="K548" s="24"/>
      <c r="L548" s="24"/>
      <c r="M548" s="24"/>
      <c r="N548" s="24"/>
      <c r="O548" s="24"/>
      <c r="P548" s="24"/>
      <c r="Q548" s="24"/>
    </row>
    <row r="549" spans="1:17" ht="16.2" x14ac:dyDescent="0.35">
      <c r="A549" s="20">
        <v>29812</v>
      </c>
      <c r="B549" s="21">
        <v>17.27</v>
      </c>
      <c r="C549" s="21">
        <v>2.1</v>
      </c>
      <c r="D549" s="21"/>
      <c r="E549" s="21"/>
      <c r="F549" s="21"/>
      <c r="G549" s="21"/>
      <c r="H549" s="21"/>
      <c r="I549" s="21"/>
      <c r="J549" s="24"/>
      <c r="K549" s="24"/>
      <c r="L549" s="24"/>
      <c r="M549" s="24"/>
      <c r="N549" s="24"/>
      <c r="O549" s="24"/>
      <c r="P549" s="24"/>
      <c r="Q549" s="24"/>
    </row>
    <row r="550" spans="1:17" ht="16.2"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ht="16.2" x14ac:dyDescent="0.35">
      <c r="A551" s="20">
        <v>29826</v>
      </c>
      <c r="B551" s="21">
        <v>17.48</v>
      </c>
      <c r="C551" s="21">
        <v>2.1</v>
      </c>
      <c r="D551" s="21"/>
      <c r="E551" s="21"/>
      <c r="F551" s="21"/>
      <c r="G551" s="21"/>
      <c r="H551" s="21"/>
      <c r="I551" s="21"/>
      <c r="J551" s="24"/>
      <c r="K551" s="24"/>
      <c r="L551" s="24"/>
      <c r="M551" s="24"/>
      <c r="N551" s="24"/>
      <c r="O551" s="24"/>
      <c r="P551" s="24"/>
      <c r="Q551" s="24"/>
    </row>
    <row r="552" spans="1:17" ht="16.2" x14ac:dyDescent="0.35">
      <c r="A552" s="20">
        <v>29833</v>
      </c>
      <c r="B552" s="21">
        <v>17.79</v>
      </c>
      <c r="C552" s="21">
        <v>2</v>
      </c>
      <c r="D552" s="21"/>
      <c r="E552" s="21"/>
      <c r="F552" s="21"/>
      <c r="G552" s="21"/>
      <c r="H552" s="21"/>
      <c r="I552" s="21"/>
      <c r="J552" s="24"/>
      <c r="K552" s="24"/>
      <c r="L552" s="24"/>
      <c r="M552" s="24"/>
      <c r="N552" s="24"/>
      <c r="O552" s="24"/>
      <c r="P552" s="24"/>
      <c r="Q552" s="24"/>
    </row>
    <row r="553" spans="1:17" ht="16.2" x14ac:dyDescent="0.35">
      <c r="A553" s="20">
        <v>29840</v>
      </c>
      <c r="B553" s="21">
        <v>18.22</v>
      </c>
      <c r="C553" s="21">
        <v>2.1</v>
      </c>
      <c r="D553" s="21"/>
      <c r="E553" s="21"/>
      <c r="F553" s="21"/>
      <c r="G553" s="21"/>
      <c r="H553" s="21"/>
      <c r="I553" s="21"/>
      <c r="J553" s="24"/>
      <c r="K553" s="24"/>
      <c r="L553" s="24"/>
      <c r="M553" s="24"/>
      <c r="N553" s="24"/>
      <c r="O553" s="24"/>
      <c r="P553" s="24"/>
      <c r="Q553" s="24"/>
    </row>
    <row r="554" spans="1:17" ht="16.2"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ht="16.2"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ht="16.2" x14ac:dyDescent="0.35">
      <c r="A556" s="20">
        <v>29861</v>
      </c>
      <c r="B556" s="21">
        <v>18.28</v>
      </c>
      <c r="C556" s="21">
        <v>2.4</v>
      </c>
      <c r="D556" s="21"/>
      <c r="E556" s="21"/>
      <c r="F556" s="21"/>
      <c r="G556" s="21"/>
      <c r="H556" s="21"/>
      <c r="I556" s="21"/>
      <c r="J556" s="24"/>
      <c r="K556" s="24"/>
      <c r="L556" s="24"/>
      <c r="M556" s="24"/>
      <c r="N556" s="24"/>
      <c r="O556" s="24"/>
      <c r="P556" s="24"/>
      <c r="Q556" s="24"/>
    </row>
    <row r="557" spans="1:17" ht="16.2"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ht="16.2"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ht="16.2"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ht="16.2"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ht="16.2" x14ac:dyDescent="0.35">
      <c r="A561" s="20">
        <v>29896</v>
      </c>
      <c r="B561" s="21">
        <v>18.37</v>
      </c>
      <c r="C561" s="21">
        <v>2.1</v>
      </c>
      <c r="D561" s="21"/>
      <c r="E561" s="21"/>
      <c r="F561" s="21"/>
      <c r="G561" s="21"/>
      <c r="H561" s="21"/>
      <c r="I561" s="21"/>
      <c r="J561" s="24"/>
      <c r="K561" s="24"/>
      <c r="L561" s="24"/>
      <c r="M561" s="24"/>
      <c r="N561" s="24"/>
      <c r="O561" s="24"/>
      <c r="P561" s="24"/>
      <c r="Q561" s="24"/>
    </row>
    <row r="562" spans="1:17" ht="16.2" x14ac:dyDescent="0.35">
      <c r="A562" s="20">
        <v>29903</v>
      </c>
      <c r="B562" s="21">
        <v>18.02</v>
      </c>
      <c r="C562" s="21">
        <v>2.1</v>
      </c>
      <c r="D562" s="21"/>
      <c r="E562" s="21"/>
      <c r="F562" s="21"/>
      <c r="G562" s="21"/>
      <c r="H562" s="21"/>
      <c r="I562" s="21"/>
      <c r="J562" s="24"/>
      <c r="K562" s="24"/>
      <c r="L562" s="24"/>
      <c r="M562" s="24"/>
      <c r="N562" s="24"/>
      <c r="O562" s="24"/>
      <c r="P562" s="24"/>
      <c r="Q562" s="24"/>
    </row>
    <row r="563" spans="1:17" ht="16.2"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ht="16.2" x14ac:dyDescent="0.35">
      <c r="A564" s="20">
        <v>29917</v>
      </c>
      <c r="B564" s="21">
        <v>17.21</v>
      </c>
      <c r="C564" s="21">
        <v>2.1</v>
      </c>
      <c r="D564" s="21"/>
      <c r="E564" s="21"/>
      <c r="F564" s="21"/>
      <c r="G564" s="21"/>
      <c r="H564" s="21"/>
      <c r="I564" s="21"/>
      <c r="J564" s="24"/>
      <c r="K564" s="24"/>
      <c r="L564" s="24"/>
      <c r="M564" s="24"/>
      <c r="N564" s="24"/>
      <c r="O564" s="24"/>
      <c r="P564" s="24"/>
      <c r="Q564" s="24"/>
    </row>
    <row r="565" spans="1:17" ht="16.2"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ht="16.2"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ht="16.2"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ht="16.2" x14ac:dyDescent="0.35">
      <c r="A568" s="20">
        <v>29945</v>
      </c>
      <c r="B568" s="21">
        <v>16.95</v>
      </c>
      <c r="C568" s="21">
        <v>2</v>
      </c>
      <c r="D568" s="21"/>
      <c r="E568" s="21"/>
      <c r="F568" s="21"/>
      <c r="G568" s="21"/>
      <c r="H568" s="21"/>
      <c r="I568" s="21"/>
      <c r="J568" s="24"/>
      <c r="K568" s="24"/>
      <c r="L568" s="24"/>
      <c r="M568" s="24"/>
      <c r="N568" s="24"/>
      <c r="O568" s="24"/>
      <c r="P568" s="24"/>
      <c r="Q568" s="24"/>
    </row>
    <row r="569" spans="1:17" ht="16.2" x14ac:dyDescent="0.35">
      <c r="A569" s="20">
        <v>29951</v>
      </c>
      <c r="B569" s="21">
        <v>17.04</v>
      </c>
      <c r="C569" s="21">
        <v>2.1</v>
      </c>
      <c r="D569" s="21"/>
      <c r="E569" s="21"/>
      <c r="F569" s="21"/>
      <c r="G569" s="21"/>
      <c r="H569" s="21"/>
      <c r="I569" s="21"/>
      <c r="J569" s="24"/>
      <c r="K569" s="24"/>
      <c r="L569" s="24"/>
      <c r="M569" s="24"/>
      <c r="N569" s="24"/>
      <c r="O569" s="24"/>
      <c r="P569" s="24"/>
      <c r="Q569" s="24"/>
    </row>
    <row r="570" spans="1:17" ht="16.2" x14ac:dyDescent="0.35">
      <c r="A570" s="20">
        <v>29959</v>
      </c>
      <c r="B570" s="21">
        <v>17.3</v>
      </c>
      <c r="C570" s="21">
        <v>2.1</v>
      </c>
      <c r="D570" s="21"/>
      <c r="E570" s="21"/>
      <c r="F570" s="21"/>
      <c r="G570" s="21"/>
      <c r="H570" s="21"/>
      <c r="I570" s="21"/>
      <c r="J570" s="24"/>
      <c r="K570" s="24"/>
      <c r="L570" s="24"/>
      <c r="M570" s="24"/>
      <c r="N570" s="24"/>
      <c r="O570" s="24"/>
      <c r="P570" s="24"/>
      <c r="Q570" s="24"/>
    </row>
    <row r="571" spans="1:17" ht="16.2"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ht="16.2"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ht="16.2"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ht="16.2"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ht="16.2"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ht="16.2"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ht="16.2"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ht="16.2"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ht="16.2"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ht="16.2"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ht="16.2"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ht="16.2"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ht="16.2"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ht="16.2"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ht="16.2"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ht="16.2"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ht="16.2"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ht="16.2" x14ac:dyDescent="0.35">
      <c r="A588" s="20">
        <v>30085</v>
      </c>
      <c r="B588" s="21">
        <v>16.63</v>
      </c>
      <c r="C588" s="21">
        <v>2.4</v>
      </c>
      <c r="D588" s="21"/>
      <c r="E588" s="21"/>
      <c r="F588" s="21"/>
      <c r="G588" s="21"/>
      <c r="H588" s="21"/>
      <c r="I588" s="21"/>
      <c r="J588" s="24"/>
      <c r="K588" s="24"/>
      <c r="L588" s="24"/>
      <c r="M588" s="24"/>
      <c r="N588" s="24"/>
      <c r="O588" s="24"/>
      <c r="P588" s="24"/>
      <c r="Q588" s="24"/>
    </row>
    <row r="589" spans="1:17" ht="16.2"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ht="16.2"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ht="16.2"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ht="16.2"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ht="16.2" x14ac:dyDescent="0.35">
      <c r="A593" s="20">
        <v>30120</v>
      </c>
      <c r="B593" s="21">
        <v>16.71</v>
      </c>
      <c r="C593" s="21">
        <v>2.1</v>
      </c>
      <c r="D593" s="21"/>
      <c r="E593" s="21"/>
      <c r="F593" s="21"/>
      <c r="G593" s="21"/>
      <c r="H593" s="21"/>
      <c r="I593" s="21"/>
      <c r="J593" s="24"/>
      <c r="K593" s="24"/>
      <c r="L593" s="24"/>
      <c r="M593" s="24"/>
      <c r="N593" s="24"/>
      <c r="O593" s="24"/>
      <c r="P593" s="24"/>
      <c r="Q593" s="24"/>
    </row>
    <row r="594" spans="1:17" ht="16.2"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ht="16.2"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ht="16.2"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ht="16.2"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ht="16.2"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ht="16.2"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ht="16.2"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ht="16.2"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ht="16.2"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ht="16.2"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ht="16.2"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ht="16.2"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ht="16.2"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ht="16.2"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ht="16.2"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ht="16.2"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ht="16.2"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ht="16.2"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ht="16.2"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ht="16.2"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ht="16.2"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ht="16.2" x14ac:dyDescent="0.35">
      <c r="A615" s="20">
        <v>30274</v>
      </c>
      <c r="B615" s="21">
        <v>13.78</v>
      </c>
      <c r="C615" s="21">
        <v>2.1</v>
      </c>
      <c r="D615" s="21"/>
      <c r="E615" s="21"/>
      <c r="F615" s="21"/>
      <c r="G615" s="21"/>
      <c r="H615" s="21"/>
      <c r="I615" s="21"/>
      <c r="J615" s="24"/>
      <c r="K615" s="24"/>
      <c r="L615" s="24"/>
      <c r="M615" s="24"/>
      <c r="N615" s="24"/>
      <c r="O615" s="24"/>
      <c r="P615" s="24"/>
      <c r="Q615" s="24"/>
    </row>
    <row r="616" spans="1:17" ht="16.2" x14ac:dyDescent="0.35">
      <c r="A616" s="20">
        <v>30281</v>
      </c>
      <c r="B616" s="21">
        <v>13.77</v>
      </c>
      <c r="C616" s="21">
        <v>2.1</v>
      </c>
      <c r="D616" s="21"/>
      <c r="E616" s="21"/>
      <c r="F616" s="21"/>
      <c r="G616" s="21"/>
      <c r="H616" s="21"/>
      <c r="I616" s="21"/>
      <c r="J616" s="24"/>
      <c r="K616" s="24"/>
      <c r="L616" s="24"/>
      <c r="M616" s="24"/>
      <c r="N616" s="24"/>
      <c r="O616" s="24"/>
      <c r="P616" s="24"/>
      <c r="Q616" s="24"/>
    </row>
    <row r="617" spans="1:17" ht="16.2"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ht="16.2"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ht="16.2"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ht="16.2" x14ac:dyDescent="0.35">
      <c r="A620" s="20">
        <v>30309</v>
      </c>
      <c r="B620" s="21">
        <v>13.6</v>
      </c>
      <c r="C620" s="21">
        <v>2.1</v>
      </c>
      <c r="D620" s="21"/>
      <c r="E620" s="21"/>
      <c r="F620" s="21"/>
      <c r="G620" s="21"/>
      <c r="H620" s="21"/>
      <c r="I620" s="21"/>
      <c r="J620" s="24"/>
      <c r="K620" s="24"/>
      <c r="L620" s="24"/>
      <c r="M620" s="24"/>
      <c r="N620" s="24"/>
      <c r="O620" s="24"/>
      <c r="P620" s="24"/>
      <c r="Q620" s="24"/>
    </row>
    <row r="621" spans="1:17" ht="16.2"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ht="16.2"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ht="16.2"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ht="16.2"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ht="16.2" x14ac:dyDescent="0.35">
      <c r="A625" s="20">
        <v>30344</v>
      </c>
      <c r="B625" s="21">
        <v>13.1</v>
      </c>
      <c r="C625" s="21">
        <v>2</v>
      </c>
      <c r="D625" s="21"/>
      <c r="E625" s="21"/>
      <c r="F625" s="21"/>
      <c r="G625" s="21"/>
      <c r="H625" s="21"/>
      <c r="I625" s="21"/>
      <c r="J625" s="24"/>
      <c r="K625" s="24"/>
      <c r="L625" s="24"/>
      <c r="M625" s="24"/>
      <c r="N625" s="24"/>
      <c r="O625" s="24"/>
      <c r="P625" s="24"/>
      <c r="Q625" s="24"/>
    </row>
    <row r="626" spans="1:17" ht="16.2" x14ac:dyDescent="0.35">
      <c r="A626" s="20">
        <v>30351</v>
      </c>
      <c r="B626" s="21">
        <v>13.06</v>
      </c>
      <c r="C626" s="21">
        <v>2</v>
      </c>
      <c r="D626" s="21"/>
      <c r="E626" s="21"/>
      <c r="F626" s="21"/>
      <c r="G626" s="21"/>
      <c r="H626" s="21"/>
      <c r="I626" s="21"/>
      <c r="J626" s="24"/>
      <c r="K626" s="24"/>
      <c r="L626" s="24"/>
      <c r="M626" s="24"/>
      <c r="N626" s="24"/>
      <c r="O626" s="24"/>
      <c r="P626" s="24"/>
      <c r="Q626" s="24"/>
    </row>
    <row r="627" spans="1:17" ht="16.2" x14ac:dyDescent="0.35">
      <c r="A627" s="20">
        <v>30358</v>
      </c>
      <c r="B627" s="21">
        <v>13.06</v>
      </c>
      <c r="C627" s="21">
        <v>1.9</v>
      </c>
      <c r="D627" s="21"/>
      <c r="E627" s="21"/>
      <c r="F627" s="21"/>
      <c r="G627" s="21"/>
      <c r="H627" s="21"/>
      <c r="I627" s="21"/>
      <c r="J627" s="24"/>
      <c r="K627" s="24"/>
      <c r="L627" s="24"/>
      <c r="M627" s="24"/>
      <c r="N627" s="24"/>
      <c r="O627" s="24"/>
      <c r="P627" s="24"/>
      <c r="Q627" s="24"/>
    </row>
    <row r="628" spans="1:17" ht="16.2" x14ac:dyDescent="0.35">
      <c r="A628" s="20">
        <v>30365</v>
      </c>
      <c r="B628" s="21">
        <v>13.07</v>
      </c>
      <c r="C628" s="21">
        <v>2</v>
      </c>
      <c r="D628" s="21"/>
      <c r="E628" s="21"/>
      <c r="F628" s="21"/>
      <c r="G628" s="21"/>
      <c r="H628" s="21"/>
      <c r="I628" s="21"/>
      <c r="J628" s="24"/>
      <c r="K628" s="24"/>
      <c r="L628" s="24"/>
      <c r="M628" s="24"/>
      <c r="N628" s="24"/>
      <c r="O628" s="24"/>
      <c r="P628" s="24"/>
      <c r="Q628" s="24"/>
    </row>
    <row r="629" spans="1:17" ht="16.2" x14ac:dyDescent="0.35">
      <c r="A629" s="20">
        <v>30372</v>
      </c>
      <c r="B629" s="21">
        <v>12.98</v>
      </c>
      <c r="C629" s="21">
        <v>1.9</v>
      </c>
      <c r="D629" s="21"/>
      <c r="E629" s="21"/>
      <c r="F629" s="21"/>
      <c r="G629" s="21"/>
      <c r="H629" s="21"/>
      <c r="I629" s="21"/>
      <c r="J629" s="24"/>
      <c r="K629" s="24"/>
      <c r="L629" s="24"/>
      <c r="M629" s="24"/>
      <c r="N629" s="24"/>
      <c r="O629" s="24"/>
      <c r="P629" s="24"/>
      <c r="Q629" s="24"/>
    </row>
    <row r="630" spans="1:17" ht="16.2" x14ac:dyDescent="0.35">
      <c r="A630" s="20">
        <v>30379</v>
      </c>
      <c r="B630" s="21">
        <v>12.74</v>
      </c>
      <c r="C630" s="21">
        <v>2.1</v>
      </c>
      <c r="D630" s="21"/>
      <c r="E630" s="21"/>
      <c r="F630" s="21"/>
      <c r="G630" s="21"/>
      <c r="H630" s="21"/>
      <c r="I630" s="21"/>
      <c r="J630" s="24"/>
      <c r="K630" s="24"/>
      <c r="L630" s="24"/>
      <c r="M630" s="24"/>
      <c r="N630" s="24"/>
      <c r="O630" s="24"/>
      <c r="P630" s="24"/>
      <c r="Q630" s="24"/>
    </row>
    <row r="631" spans="1:17" ht="16.2" x14ac:dyDescent="0.35">
      <c r="A631" s="20">
        <v>30386</v>
      </c>
      <c r="B631" s="21">
        <v>12.79</v>
      </c>
      <c r="C631" s="21">
        <v>2.1</v>
      </c>
      <c r="D631" s="21"/>
      <c r="E631" s="21"/>
      <c r="F631" s="21"/>
      <c r="G631" s="21"/>
      <c r="H631" s="21"/>
      <c r="I631" s="21"/>
      <c r="J631" s="24"/>
      <c r="K631" s="24"/>
      <c r="L631" s="24"/>
      <c r="M631" s="24"/>
      <c r="N631" s="24"/>
      <c r="O631" s="24"/>
      <c r="P631" s="24"/>
      <c r="Q631" s="24"/>
    </row>
    <row r="632" spans="1:17" ht="16.2"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ht="16.2"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ht="16.2"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ht="16.2"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ht="16.2"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ht="16.2" x14ac:dyDescent="0.35">
      <c r="A637" s="20">
        <v>30428</v>
      </c>
      <c r="B637" s="21">
        <v>12.75</v>
      </c>
      <c r="C637" s="21">
        <v>2</v>
      </c>
      <c r="D637" s="21"/>
      <c r="E637" s="21"/>
      <c r="F637" s="21"/>
      <c r="G637" s="21"/>
      <c r="H637" s="21"/>
      <c r="I637" s="21"/>
      <c r="J637" s="24"/>
      <c r="K637" s="24"/>
      <c r="L637" s="24"/>
      <c r="M637" s="24"/>
      <c r="N637" s="24"/>
      <c r="O637" s="24"/>
      <c r="P637" s="24"/>
      <c r="Q637" s="24"/>
    </row>
    <row r="638" spans="1:17" ht="16.2" x14ac:dyDescent="0.35">
      <c r="A638" s="20">
        <v>30435</v>
      </c>
      <c r="B638" s="21">
        <v>12.73</v>
      </c>
      <c r="C638" s="21">
        <v>2.1</v>
      </c>
      <c r="D638" s="21"/>
      <c r="E638" s="21"/>
      <c r="F638" s="21"/>
      <c r="G638" s="21"/>
      <c r="H638" s="21"/>
      <c r="I638" s="21"/>
      <c r="J638" s="24"/>
      <c r="K638" s="24"/>
      <c r="L638" s="24"/>
      <c r="M638" s="24"/>
      <c r="N638" s="24"/>
      <c r="O638" s="24"/>
      <c r="P638" s="24"/>
      <c r="Q638" s="24"/>
    </row>
    <row r="639" spans="1:17" ht="16.2" x14ac:dyDescent="0.35">
      <c r="A639" s="20">
        <v>30442</v>
      </c>
      <c r="B639" s="21">
        <v>12.71</v>
      </c>
      <c r="C639" s="21">
        <v>2.1</v>
      </c>
      <c r="D639" s="21"/>
      <c r="E639" s="21"/>
      <c r="F639" s="21"/>
      <c r="G639" s="21"/>
      <c r="H639" s="21"/>
      <c r="I639" s="21"/>
      <c r="J639" s="24"/>
      <c r="K639" s="24"/>
      <c r="L639" s="24"/>
      <c r="M639" s="24"/>
      <c r="N639" s="24"/>
      <c r="O639" s="24"/>
      <c r="P639" s="24"/>
      <c r="Q639" s="24"/>
    </row>
    <row r="640" spans="1:17" ht="16.2" x14ac:dyDescent="0.35">
      <c r="A640" s="20">
        <v>30449</v>
      </c>
      <c r="B640" s="21">
        <v>12.59</v>
      </c>
      <c r="C640" s="21">
        <v>2.1</v>
      </c>
      <c r="D640" s="21"/>
      <c r="E640" s="21"/>
      <c r="F640" s="21"/>
      <c r="G640" s="21"/>
      <c r="H640" s="21"/>
      <c r="I640" s="21"/>
      <c r="J640" s="24"/>
      <c r="K640" s="24"/>
      <c r="L640" s="24"/>
      <c r="M640" s="24"/>
      <c r="N640" s="24"/>
      <c r="O640" s="24"/>
      <c r="P640" s="24"/>
      <c r="Q640" s="24"/>
    </row>
    <row r="641" spans="1:17" ht="16.2" x14ac:dyDescent="0.35">
      <c r="A641" s="20">
        <v>30456</v>
      </c>
      <c r="B641" s="21">
        <v>12.55</v>
      </c>
      <c r="C641" s="21">
        <v>2.1</v>
      </c>
      <c r="D641" s="21"/>
      <c r="E641" s="21"/>
      <c r="F641" s="21"/>
      <c r="G641" s="21"/>
      <c r="H641" s="21"/>
      <c r="I641" s="21"/>
      <c r="J641" s="24"/>
      <c r="K641" s="24"/>
      <c r="L641" s="24"/>
      <c r="M641" s="24"/>
      <c r="N641" s="24"/>
      <c r="O641" s="24"/>
      <c r="P641" s="24"/>
      <c r="Q641" s="24"/>
    </row>
    <row r="642" spans="1:17" ht="16.2" x14ac:dyDescent="0.35">
      <c r="A642" s="20">
        <v>30463</v>
      </c>
      <c r="B642" s="21">
        <v>12.68</v>
      </c>
      <c r="C642" s="21">
        <v>2.1</v>
      </c>
      <c r="D642" s="21"/>
      <c r="E642" s="21"/>
      <c r="F642" s="21"/>
      <c r="G642" s="21"/>
      <c r="H642" s="21"/>
      <c r="I642" s="21"/>
      <c r="J642" s="24"/>
      <c r="K642" s="24"/>
      <c r="L642" s="24"/>
      <c r="M642" s="24"/>
      <c r="N642" s="24"/>
      <c r="O642" s="24"/>
      <c r="P642" s="24"/>
      <c r="Q642" s="24"/>
    </row>
    <row r="643" spans="1:17" ht="16.2"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ht="16.2" x14ac:dyDescent="0.35">
      <c r="A644" s="20">
        <v>30477</v>
      </c>
      <c r="B644" s="21">
        <v>12.82</v>
      </c>
      <c r="C644" s="21">
        <v>2</v>
      </c>
      <c r="D644" s="21"/>
      <c r="E644" s="21"/>
      <c r="F644" s="21"/>
      <c r="G644" s="21"/>
      <c r="H644" s="21"/>
      <c r="I644" s="21"/>
      <c r="J644" s="24"/>
      <c r="K644" s="24"/>
      <c r="L644" s="24"/>
      <c r="M644" s="24"/>
      <c r="N644" s="24"/>
      <c r="O644" s="24"/>
      <c r="P644" s="24"/>
      <c r="Q644" s="24"/>
    </row>
    <row r="645" spans="1:17" ht="16.2" x14ac:dyDescent="0.35">
      <c r="A645" s="20">
        <v>30484</v>
      </c>
      <c r="B645" s="21">
        <v>12.96</v>
      </c>
      <c r="C645" s="21">
        <v>2.1</v>
      </c>
      <c r="D645" s="21"/>
      <c r="E645" s="21"/>
      <c r="F645" s="21"/>
      <c r="G645" s="21"/>
      <c r="H645" s="21"/>
      <c r="I645" s="21"/>
      <c r="J645" s="24"/>
      <c r="K645" s="24"/>
      <c r="L645" s="24"/>
      <c r="M645" s="24"/>
      <c r="N645" s="24"/>
      <c r="O645" s="24"/>
      <c r="P645" s="24"/>
      <c r="Q645" s="24"/>
    </row>
    <row r="646" spans="1:17" ht="16.2" x14ac:dyDescent="0.35">
      <c r="A646" s="20">
        <v>30491</v>
      </c>
      <c r="B646" s="21">
        <v>12.96</v>
      </c>
      <c r="C646" s="21">
        <v>2.1</v>
      </c>
      <c r="D646" s="21"/>
      <c r="E646" s="21"/>
      <c r="F646" s="21"/>
      <c r="G646" s="21"/>
      <c r="H646" s="21"/>
      <c r="I646" s="21"/>
      <c r="J646" s="24"/>
      <c r="K646" s="24"/>
      <c r="L646" s="24"/>
      <c r="M646" s="24"/>
      <c r="N646" s="24"/>
      <c r="O646" s="24"/>
      <c r="P646" s="24"/>
      <c r="Q646" s="24"/>
    </row>
    <row r="647" spans="1:17" ht="16.2" x14ac:dyDescent="0.35">
      <c r="A647" s="20">
        <v>30498</v>
      </c>
      <c r="B647" s="21">
        <v>13.08</v>
      </c>
      <c r="C647" s="21">
        <v>2.1</v>
      </c>
      <c r="D647" s="21"/>
      <c r="E647" s="21"/>
      <c r="F647" s="21"/>
      <c r="G647" s="21"/>
      <c r="H647" s="21"/>
      <c r="I647" s="21"/>
      <c r="J647" s="24"/>
      <c r="K647" s="24"/>
      <c r="L647" s="24"/>
      <c r="M647" s="24"/>
      <c r="N647" s="24"/>
      <c r="O647" s="24"/>
      <c r="P647" s="24"/>
      <c r="Q647" s="24"/>
    </row>
    <row r="648" spans="1:17" ht="16.2" x14ac:dyDescent="0.35">
      <c r="A648" s="20">
        <v>30505</v>
      </c>
      <c r="B648" s="21">
        <v>13.3</v>
      </c>
      <c r="C648" s="21">
        <v>2.1</v>
      </c>
      <c r="D648" s="21"/>
      <c r="E648" s="21"/>
      <c r="F648" s="21"/>
      <c r="G648" s="21"/>
      <c r="H648" s="21"/>
      <c r="I648" s="21"/>
      <c r="J648" s="24"/>
      <c r="K648" s="24"/>
      <c r="L648" s="24"/>
      <c r="M648" s="24"/>
      <c r="N648" s="24"/>
      <c r="O648" s="24"/>
      <c r="P648" s="24"/>
      <c r="Q648" s="24"/>
    </row>
    <row r="649" spans="1:17" ht="16.2"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ht="16.2"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ht="16.2"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ht="16.2"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ht="16.2"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ht="16.2"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ht="16.2"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ht="16.2"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ht="16.2"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ht="16.2"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ht="16.2"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ht="16.2"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ht="16.2"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ht="16.2"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ht="16.2" x14ac:dyDescent="0.35">
      <c r="A663" s="20">
        <v>30610</v>
      </c>
      <c r="B663" s="21">
        <v>13.52</v>
      </c>
      <c r="C663" s="21">
        <v>2.1</v>
      </c>
      <c r="D663" s="21"/>
      <c r="E663" s="21"/>
      <c r="F663" s="21"/>
      <c r="G663" s="21"/>
      <c r="H663" s="21"/>
      <c r="I663" s="21"/>
      <c r="J663" s="24"/>
      <c r="K663" s="24"/>
      <c r="L663" s="24"/>
      <c r="M663" s="24"/>
      <c r="N663" s="24"/>
      <c r="O663" s="24"/>
      <c r="P663" s="24"/>
      <c r="Q663" s="24"/>
    </row>
    <row r="664" spans="1:17" ht="16.2" x14ac:dyDescent="0.35">
      <c r="A664" s="20">
        <v>30617</v>
      </c>
      <c r="B664" s="21">
        <v>13.43</v>
      </c>
      <c r="C664" s="21">
        <v>2</v>
      </c>
      <c r="D664" s="21"/>
      <c r="E664" s="21"/>
      <c r="F664" s="21"/>
      <c r="G664" s="21"/>
      <c r="H664" s="21"/>
      <c r="I664" s="21"/>
      <c r="J664" s="24"/>
      <c r="K664" s="24"/>
      <c r="L664" s="24"/>
      <c r="M664" s="24"/>
      <c r="N664" s="24"/>
      <c r="O664" s="24"/>
      <c r="P664" s="24"/>
      <c r="Q664" s="24"/>
    </row>
    <row r="665" spans="1:17" ht="16.2" x14ac:dyDescent="0.35">
      <c r="A665" s="20">
        <v>30624</v>
      </c>
      <c r="B665" s="21">
        <v>13.42</v>
      </c>
      <c r="C665" s="21">
        <v>2.1</v>
      </c>
      <c r="D665" s="21"/>
      <c r="E665" s="21"/>
      <c r="F665" s="21"/>
      <c r="G665" s="21"/>
      <c r="H665" s="21"/>
      <c r="I665" s="21"/>
      <c r="J665" s="24"/>
      <c r="K665" s="24"/>
      <c r="L665" s="24"/>
      <c r="M665" s="24"/>
      <c r="N665" s="24"/>
      <c r="O665" s="24"/>
      <c r="P665" s="24"/>
      <c r="Q665" s="24"/>
    </row>
    <row r="666" spans="1:17" ht="16.2" x14ac:dyDescent="0.35">
      <c r="A666" s="20">
        <v>30631</v>
      </c>
      <c r="B666" s="21">
        <v>13.47</v>
      </c>
      <c r="C666" s="21">
        <v>2.1</v>
      </c>
      <c r="D666" s="21"/>
      <c r="E666" s="21"/>
      <c r="F666" s="21"/>
      <c r="G666" s="21"/>
      <c r="H666" s="21"/>
      <c r="I666" s="21"/>
      <c r="J666" s="24"/>
      <c r="K666" s="24"/>
      <c r="L666" s="24"/>
      <c r="M666" s="24"/>
      <c r="N666" s="24"/>
      <c r="O666" s="24"/>
      <c r="P666" s="24"/>
      <c r="Q666" s="24"/>
    </row>
    <row r="667" spans="1:17" ht="16.2"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ht="16.2" x14ac:dyDescent="0.35">
      <c r="A668" s="20">
        <v>30645</v>
      </c>
      <c r="B668" s="21">
        <v>13.43</v>
      </c>
      <c r="C668" s="21">
        <v>2.1</v>
      </c>
      <c r="D668" s="21"/>
      <c r="E668" s="21"/>
      <c r="F668" s="21"/>
      <c r="G668" s="21"/>
      <c r="H668" s="21"/>
      <c r="I668" s="21"/>
      <c r="J668" s="24"/>
      <c r="K668" s="24"/>
      <c r="L668" s="24"/>
      <c r="M668" s="24"/>
      <c r="N668" s="24"/>
      <c r="O668" s="24"/>
      <c r="P668" s="24"/>
      <c r="Q668" s="24"/>
    </row>
    <row r="669" spans="1:17" ht="16.2" x14ac:dyDescent="0.35">
      <c r="A669" s="20">
        <v>30652</v>
      </c>
      <c r="B669" s="21">
        <v>13.41</v>
      </c>
      <c r="C669" s="21">
        <v>2.1</v>
      </c>
      <c r="D669" s="21"/>
      <c r="E669" s="21"/>
      <c r="F669" s="21"/>
      <c r="G669" s="21"/>
      <c r="H669" s="21"/>
      <c r="I669" s="21"/>
      <c r="J669" s="24"/>
      <c r="K669" s="24"/>
      <c r="L669" s="24"/>
      <c r="M669" s="24"/>
      <c r="N669" s="24"/>
      <c r="O669" s="24"/>
      <c r="P669" s="24"/>
      <c r="Q669" s="24"/>
    </row>
    <row r="670" spans="1:17" ht="16.2"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ht="16.2" x14ac:dyDescent="0.35">
      <c r="A671" s="20">
        <v>30666</v>
      </c>
      <c r="B671" s="21">
        <v>13.42</v>
      </c>
      <c r="C671" s="21">
        <v>2.1</v>
      </c>
      <c r="D671" s="21"/>
      <c r="E671" s="21"/>
      <c r="F671" s="21"/>
      <c r="G671" s="21"/>
      <c r="H671" s="21"/>
      <c r="I671" s="21"/>
      <c r="J671" s="24"/>
      <c r="K671" s="24"/>
      <c r="L671" s="24"/>
      <c r="M671" s="24"/>
      <c r="N671" s="24"/>
      <c r="O671" s="24"/>
      <c r="P671" s="24"/>
      <c r="Q671" s="24"/>
    </row>
    <row r="672" spans="1:17" ht="16.2"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ht="16.2"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ht="16.2"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ht="16.2"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ht="16.2"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ht="16.2"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ht="16.2" x14ac:dyDescent="0.35">
      <c r="A678" s="20">
        <v>30715</v>
      </c>
      <c r="B678" s="21">
        <v>13.26</v>
      </c>
      <c r="C678" s="21">
        <v>2.5</v>
      </c>
      <c r="D678" s="21"/>
      <c r="E678" s="21"/>
      <c r="F678" s="21"/>
      <c r="G678" s="21"/>
      <c r="H678" s="21"/>
      <c r="I678" s="21"/>
      <c r="J678" s="24"/>
      <c r="K678" s="24"/>
      <c r="L678" s="24"/>
      <c r="M678" s="24"/>
      <c r="N678" s="24"/>
      <c r="O678" s="24"/>
      <c r="P678" s="24"/>
      <c r="Q678" s="24"/>
    </row>
    <row r="679" spans="1:17" ht="16.2" x14ac:dyDescent="0.35">
      <c r="A679" s="20">
        <v>30722</v>
      </c>
      <c r="B679" s="21">
        <v>13.23</v>
      </c>
      <c r="C679" s="21">
        <v>2.4</v>
      </c>
      <c r="D679" s="21"/>
      <c r="E679" s="21"/>
      <c r="F679" s="21"/>
      <c r="G679" s="21"/>
      <c r="H679" s="21"/>
      <c r="I679" s="21"/>
      <c r="J679" s="24"/>
      <c r="K679" s="24"/>
      <c r="L679" s="24"/>
      <c r="M679" s="24"/>
      <c r="N679" s="24"/>
      <c r="O679" s="24"/>
      <c r="P679" s="24"/>
      <c r="Q679" s="24"/>
    </row>
    <row r="680" spans="1:17" ht="16.2" x14ac:dyDescent="0.35">
      <c r="A680" s="20">
        <v>30729</v>
      </c>
      <c r="B680" s="21">
        <v>13.19</v>
      </c>
      <c r="C680" s="21">
        <v>2.4</v>
      </c>
      <c r="D680" s="21"/>
      <c r="E680" s="21"/>
      <c r="F680" s="21"/>
      <c r="G680" s="21"/>
      <c r="H680" s="21"/>
      <c r="I680" s="21"/>
      <c r="J680" s="24"/>
      <c r="K680" s="24"/>
      <c r="L680" s="24"/>
      <c r="M680" s="24"/>
      <c r="N680" s="24"/>
      <c r="O680" s="24"/>
      <c r="P680" s="24"/>
      <c r="Q680" s="24"/>
    </row>
    <row r="681" spans="1:17" ht="16.2" x14ac:dyDescent="0.35">
      <c r="A681" s="20">
        <v>30736</v>
      </c>
      <c r="B681" s="21">
        <v>13.25</v>
      </c>
      <c r="C681" s="21">
        <v>2.4</v>
      </c>
      <c r="D681" s="21"/>
      <c r="E681" s="21"/>
      <c r="F681" s="21"/>
      <c r="G681" s="21"/>
      <c r="H681" s="21"/>
      <c r="I681" s="21"/>
      <c r="J681" s="24"/>
      <c r="K681" s="24"/>
      <c r="L681" s="24"/>
      <c r="M681" s="24"/>
      <c r="N681" s="24"/>
      <c r="O681" s="24"/>
      <c r="P681" s="24"/>
      <c r="Q681" s="24"/>
    </row>
    <row r="682" spans="1:17" ht="16.2" x14ac:dyDescent="0.35">
      <c r="A682" s="20">
        <v>30743</v>
      </c>
      <c r="B682" s="21">
        <v>13.23</v>
      </c>
      <c r="C682" s="21">
        <v>2.4</v>
      </c>
      <c r="D682" s="21"/>
      <c r="E682" s="21"/>
      <c r="F682" s="21"/>
      <c r="G682" s="21"/>
      <c r="H682" s="21"/>
      <c r="I682" s="21"/>
      <c r="J682" s="24"/>
      <c r="K682" s="24"/>
      <c r="L682" s="24"/>
      <c r="M682" s="24"/>
      <c r="N682" s="24"/>
      <c r="O682" s="24"/>
      <c r="P682" s="24"/>
      <c r="Q682" s="24"/>
    </row>
    <row r="683" spans="1:17" ht="16.2" x14ac:dyDescent="0.35">
      <c r="A683" s="20">
        <v>30750</v>
      </c>
      <c r="B683" s="21">
        <v>13.3</v>
      </c>
      <c r="C683" s="21">
        <v>2.4</v>
      </c>
      <c r="D683" s="21"/>
      <c r="E683" s="21"/>
      <c r="F683" s="21"/>
      <c r="G683" s="21"/>
      <c r="H683" s="21"/>
      <c r="I683" s="21"/>
      <c r="J683" s="24"/>
      <c r="K683" s="24"/>
      <c r="L683" s="24"/>
      <c r="M683" s="24"/>
      <c r="N683" s="24"/>
      <c r="O683" s="24"/>
      <c r="P683" s="24"/>
      <c r="Q683" s="24"/>
    </row>
    <row r="684" spans="1:17" ht="16.2" x14ac:dyDescent="0.35">
      <c r="A684" s="20">
        <v>30757</v>
      </c>
      <c r="B684" s="21">
        <v>13.37</v>
      </c>
      <c r="C684" s="21">
        <v>2.4</v>
      </c>
      <c r="D684" s="21"/>
      <c r="E684" s="21"/>
      <c r="F684" s="21"/>
      <c r="G684" s="21"/>
      <c r="H684" s="21"/>
      <c r="I684" s="21"/>
      <c r="J684" s="24"/>
      <c r="K684" s="24"/>
      <c r="L684" s="24"/>
      <c r="M684" s="24"/>
      <c r="N684" s="24"/>
      <c r="O684" s="24"/>
      <c r="P684" s="24"/>
      <c r="Q684" s="24"/>
    </row>
    <row r="685" spans="1:17" ht="16.2" x14ac:dyDescent="0.35">
      <c r="A685" s="20">
        <v>30764</v>
      </c>
      <c r="B685" s="21">
        <v>13.48</v>
      </c>
      <c r="C685" s="21">
        <v>2.4</v>
      </c>
      <c r="D685" s="21"/>
      <c r="E685" s="21"/>
      <c r="F685" s="21"/>
      <c r="G685" s="21"/>
      <c r="H685" s="21"/>
      <c r="I685" s="21"/>
      <c r="J685" s="24"/>
      <c r="K685" s="24"/>
      <c r="L685" s="24"/>
      <c r="M685" s="24"/>
      <c r="N685" s="24"/>
      <c r="O685" s="24"/>
      <c r="P685" s="24"/>
      <c r="Q685" s="24"/>
    </row>
    <row r="686" spans="1:17" ht="16.2" x14ac:dyDescent="0.35">
      <c r="A686" s="20">
        <v>30771</v>
      </c>
      <c r="B686" s="21">
        <v>13.55</v>
      </c>
      <c r="C686" s="21">
        <v>2.4</v>
      </c>
      <c r="D686" s="21"/>
      <c r="E686" s="21"/>
      <c r="F686" s="21"/>
      <c r="G686" s="21"/>
      <c r="H686" s="21"/>
      <c r="I686" s="21"/>
      <c r="J686" s="24"/>
      <c r="K686" s="24"/>
      <c r="L686" s="24"/>
      <c r="M686" s="24"/>
      <c r="N686" s="24"/>
      <c r="O686" s="24"/>
      <c r="P686" s="24"/>
      <c r="Q686" s="24"/>
    </row>
    <row r="687" spans="1:17" ht="16.2" x14ac:dyDescent="0.35">
      <c r="A687" s="20">
        <v>30778</v>
      </c>
      <c r="B687" s="21">
        <v>13.63</v>
      </c>
      <c r="C687" s="21">
        <v>2.4</v>
      </c>
      <c r="D687" s="21"/>
      <c r="E687" s="21"/>
      <c r="F687" s="21"/>
      <c r="G687" s="21"/>
      <c r="H687" s="21"/>
      <c r="I687" s="21"/>
      <c r="J687" s="24"/>
      <c r="K687" s="24"/>
      <c r="L687" s="24"/>
      <c r="M687" s="24"/>
      <c r="N687" s="24"/>
      <c r="O687" s="24"/>
      <c r="P687" s="24"/>
      <c r="Q687" s="24"/>
    </row>
    <row r="688" spans="1:17" ht="16.2" x14ac:dyDescent="0.35">
      <c r="A688" s="20">
        <v>30785</v>
      </c>
      <c r="B688" s="21">
        <v>13.58</v>
      </c>
      <c r="C688" s="21">
        <v>2.4</v>
      </c>
      <c r="D688" s="21"/>
      <c r="E688" s="21"/>
      <c r="F688" s="21"/>
      <c r="G688" s="21"/>
      <c r="H688" s="21"/>
      <c r="I688" s="21"/>
      <c r="J688" s="24"/>
      <c r="K688" s="24"/>
      <c r="L688" s="24"/>
      <c r="M688" s="24"/>
      <c r="N688" s="24"/>
      <c r="O688" s="24"/>
      <c r="P688" s="24"/>
      <c r="Q688" s="24"/>
    </row>
    <row r="689" spans="1:17" ht="16.2" x14ac:dyDescent="0.35">
      <c r="A689" s="20">
        <v>30792</v>
      </c>
      <c r="B689" s="21">
        <v>13.67</v>
      </c>
      <c r="C689" s="21">
        <v>2.5</v>
      </c>
      <c r="D689" s="21"/>
      <c r="E689" s="21"/>
      <c r="F689" s="21"/>
      <c r="G689" s="21"/>
      <c r="H689" s="21"/>
      <c r="I689" s="21"/>
      <c r="J689" s="24"/>
      <c r="K689" s="24"/>
      <c r="L689" s="24"/>
      <c r="M689" s="24"/>
      <c r="N689" s="24"/>
      <c r="O689" s="24"/>
      <c r="P689" s="24"/>
      <c r="Q689" s="24"/>
    </row>
    <row r="690" spans="1:17" ht="16.2" x14ac:dyDescent="0.35">
      <c r="A690" s="20">
        <v>30799</v>
      </c>
      <c r="B690" s="21">
        <v>13.73</v>
      </c>
      <c r="C690" s="21">
        <v>2.4</v>
      </c>
      <c r="D690" s="21"/>
      <c r="E690" s="21"/>
      <c r="F690" s="21"/>
      <c r="G690" s="21"/>
      <c r="H690" s="21"/>
      <c r="I690" s="21"/>
      <c r="J690" s="24"/>
      <c r="K690" s="24"/>
      <c r="L690" s="24"/>
      <c r="M690" s="24"/>
      <c r="N690" s="24"/>
      <c r="O690" s="24"/>
      <c r="P690" s="24"/>
      <c r="Q690" s="24"/>
    </row>
    <row r="691" spans="1:17" ht="16.2" x14ac:dyDescent="0.35">
      <c r="A691" s="20">
        <v>30806</v>
      </c>
      <c r="B691" s="21">
        <v>13.78</v>
      </c>
      <c r="C691" s="21">
        <v>2.4</v>
      </c>
      <c r="D691" s="21"/>
      <c r="E691" s="21"/>
      <c r="F691" s="21"/>
      <c r="G691" s="21"/>
      <c r="H691" s="21"/>
      <c r="I691" s="21"/>
      <c r="J691" s="24"/>
      <c r="K691" s="24"/>
      <c r="L691" s="24"/>
      <c r="M691" s="24"/>
      <c r="N691" s="24"/>
      <c r="O691" s="24"/>
      <c r="P691" s="24"/>
      <c r="Q691" s="24"/>
    </row>
    <row r="692" spans="1:17" ht="16.2" x14ac:dyDescent="0.35">
      <c r="A692" s="20">
        <v>30813</v>
      </c>
      <c r="B692" s="21">
        <v>13.87</v>
      </c>
      <c r="C692" s="21">
        <v>2.5</v>
      </c>
      <c r="D692" s="21"/>
      <c r="E692" s="21"/>
      <c r="F692" s="21"/>
      <c r="G692" s="21"/>
      <c r="H692" s="21"/>
      <c r="I692" s="21"/>
      <c r="J692" s="24"/>
      <c r="K692" s="24"/>
      <c r="L692" s="24"/>
      <c r="M692" s="24"/>
      <c r="N692" s="24"/>
      <c r="O692" s="24"/>
      <c r="P692" s="24"/>
      <c r="Q692" s="24"/>
    </row>
    <row r="693" spans="1:17" ht="16.2" x14ac:dyDescent="0.35">
      <c r="A693" s="20">
        <v>30820</v>
      </c>
      <c r="B693" s="21">
        <v>14.04</v>
      </c>
      <c r="C693" s="21">
        <v>2.5</v>
      </c>
      <c r="D693" s="21"/>
      <c r="E693" s="21"/>
      <c r="F693" s="21"/>
      <c r="G693" s="21"/>
      <c r="H693" s="21"/>
      <c r="I693" s="21"/>
      <c r="J693" s="24"/>
      <c r="K693" s="24"/>
      <c r="L693" s="24"/>
      <c r="M693" s="24"/>
      <c r="N693" s="24"/>
      <c r="O693" s="24"/>
      <c r="P693" s="24"/>
      <c r="Q693" s="24"/>
    </row>
    <row r="694" spans="1:17" ht="16.2" x14ac:dyDescent="0.35">
      <c r="A694" s="20">
        <v>30827</v>
      </c>
      <c r="B694" s="21">
        <v>14.08</v>
      </c>
      <c r="C694" s="21">
        <v>2.5</v>
      </c>
      <c r="D694" s="21"/>
      <c r="E694" s="21"/>
      <c r="F694" s="21"/>
      <c r="G694" s="21"/>
      <c r="H694" s="21"/>
      <c r="I694" s="21"/>
      <c r="J694" s="24"/>
      <c r="K694" s="24"/>
      <c r="L694" s="24"/>
      <c r="M694" s="24"/>
      <c r="N694" s="24"/>
      <c r="O694" s="24"/>
      <c r="P694" s="24"/>
      <c r="Q694" s="24"/>
    </row>
    <row r="695" spans="1:17" ht="16.2" x14ac:dyDescent="0.35">
      <c r="A695" s="20">
        <v>30834</v>
      </c>
      <c r="B695" s="21">
        <v>14.29</v>
      </c>
      <c r="C695" s="21">
        <v>2.4</v>
      </c>
      <c r="D695" s="21"/>
      <c r="E695" s="21"/>
      <c r="F695" s="21"/>
      <c r="G695" s="21"/>
      <c r="H695" s="21"/>
      <c r="I695" s="21"/>
      <c r="J695" s="24"/>
      <c r="K695" s="24"/>
      <c r="L695" s="24"/>
      <c r="M695" s="24"/>
      <c r="N695" s="24"/>
      <c r="O695" s="24"/>
      <c r="P695" s="24"/>
      <c r="Q695" s="24"/>
    </row>
    <row r="696" spans="1:17" ht="16.2" x14ac:dyDescent="0.35">
      <c r="A696" s="20">
        <v>30841</v>
      </c>
      <c r="B696" s="21">
        <v>14.33</v>
      </c>
      <c r="C696" s="21">
        <v>2.5</v>
      </c>
      <c r="D696" s="21"/>
      <c r="E696" s="21"/>
      <c r="F696" s="21"/>
      <c r="G696" s="21"/>
      <c r="H696" s="21"/>
      <c r="I696" s="21"/>
      <c r="J696" s="24"/>
      <c r="K696" s="24"/>
      <c r="L696" s="24"/>
      <c r="M696" s="24"/>
      <c r="N696" s="24"/>
      <c r="O696" s="24"/>
      <c r="P696" s="24"/>
      <c r="Q696" s="24"/>
    </row>
    <row r="697" spans="1:17" ht="16.2" x14ac:dyDescent="0.35">
      <c r="A697" s="20">
        <v>30848</v>
      </c>
      <c r="B697" s="21">
        <v>14.47</v>
      </c>
      <c r="C697" s="21">
        <v>2.5</v>
      </c>
      <c r="D697" s="21"/>
      <c r="E697" s="21"/>
      <c r="F697" s="21"/>
      <c r="G697" s="21"/>
      <c r="H697" s="21"/>
      <c r="I697" s="21"/>
      <c r="J697" s="24"/>
      <c r="K697" s="24"/>
      <c r="L697" s="24"/>
      <c r="M697" s="24"/>
      <c r="N697" s="24"/>
      <c r="O697" s="24"/>
      <c r="P697" s="24"/>
      <c r="Q697" s="24"/>
    </row>
    <row r="698" spans="1:17" ht="16.2" x14ac:dyDescent="0.35">
      <c r="A698" s="20">
        <v>30855</v>
      </c>
      <c r="B698" s="21">
        <v>14.49</v>
      </c>
      <c r="C698" s="21">
        <v>2.5</v>
      </c>
      <c r="D698" s="21"/>
      <c r="E698" s="21"/>
      <c r="F698" s="21"/>
      <c r="G698" s="21"/>
      <c r="H698" s="21"/>
      <c r="I698" s="21"/>
      <c r="J698" s="24"/>
      <c r="K698" s="24"/>
      <c r="L698" s="24"/>
      <c r="M698" s="24"/>
      <c r="N698" s="24"/>
      <c r="O698" s="24"/>
      <c r="P698" s="24"/>
      <c r="Q698" s="24"/>
    </row>
    <row r="699" spans="1:17" ht="16.2" x14ac:dyDescent="0.35">
      <c r="A699" s="20">
        <v>30862</v>
      </c>
      <c r="B699" s="21">
        <v>14.5</v>
      </c>
      <c r="C699" s="21">
        <v>2.5</v>
      </c>
      <c r="D699" s="21"/>
      <c r="E699" s="21"/>
      <c r="F699" s="21"/>
      <c r="G699" s="21"/>
      <c r="H699" s="21"/>
      <c r="I699" s="21"/>
      <c r="J699" s="24"/>
      <c r="K699" s="24"/>
      <c r="L699" s="24"/>
      <c r="M699" s="24"/>
      <c r="N699" s="24"/>
      <c r="O699" s="24"/>
      <c r="P699" s="24"/>
      <c r="Q699" s="24"/>
    </row>
    <row r="700" spans="1:17" ht="16.2" x14ac:dyDescent="0.35">
      <c r="A700" s="20">
        <v>30869</v>
      </c>
      <c r="B700" s="21">
        <v>14.66</v>
      </c>
      <c r="C700" s="21">
        <v>2.4</v>
      </c>
      <c r="D700" s="21"/>
      <c r="E700" s="21"/>
      <c r="F700" s="21"/>
      <c r="G700" s="21"/>
      <c r="H700" s="21"/>
      <c r="I700" s="21"/>
      <c r="J700" s="24"/>
      <c r="K700" s="24"/>
      <c r="L700" s="24"/>
      <c r="M700" s="24"/>
      <c r="N700" s="24"/>
      <c r="O700" s="24"/>
      <c r="P700" s="24"/>
      <c r="Q700" s="24"/>
    </row>
    <row r="701" spans="1:17" ht="16.2" x14ac:dyDescent="0.35">
      <c r="A701" s="20">
        <v>30876</v>
      </c>
      <c r="B701" s="21">
        <v>14.68</v>
      </c>
      <c r="C701" s="21">
        <v>2.6</v>
      </c>
      <c r="D701" s="21"/>
      <c r="E701" s="21"/>
      <c r="F701" s="21"/>
      <c r="G701" s="21"/>
      <c r="H701" s="21"/>
      <c r="I701" s="21"/>
      <c r="J701" s="24"/>
      <c r="K701" s="24"/>
      <c r="L701" s="24"/>
      <c r="M701" s="24"/>
      <c r="N701" s="24"/>
      <c r="O701" s="24"/>
      <c r="P701" s="24"/>
      <c r="Q701" s="24"/>
    </row>
    <row r="702" spans="1:17" ht="16.2" x14ac:dyDescent="0.35">
      <c r="A702" s="20">
        <v>30883</v>
      </c>
      <c r="B702" s="21">
        <v>14.66</v>
      </c>
      <c r="C702" s="21">
        <v>2.6</v>
      </c>
      <c r="D702" s="21"/>
      <c r="E702" s="21"/>
      <c r="F702" s="21"/>
      <c r="G702" s="21"/>
      <c r="H702" s="21"/>
      <c r="I702" s="21"/>
      <c r="J702" s="24"/>
      <c r="K702" s="24"/>
      <c r="L702" s="24"/>
      <c r="M702" s="24"/>
      <c r="N702" s="24"/>
      <c r="O702" s="24"/>
      <c r="P702" s="24"/>
      <c r="Q702" s="24"/>
    </row>
    <row r="703" spans="1:17" ht="16.2" x14ac:dyDescent="0.35">
      <c r="A703" s="20">
        <v>30890</v>
      </c>
      <c r="B703" s="21">
        <v>14.67</v>
      </c>
      <c r="C703" s="21">
        <v>2.7</v>
      </c>
      <c r="D703" s="21"/>
      <c r="E703" s="21"/>
      <c r="F703" s="21"/>
      <c r="G703" s="21"/>
      <c r="H703" s="21"/>
      <c r="I703" s="21"/>
      <c r="J703" s="24"/>
      <c r="K703" s="24"/>
      <c r="L703" s="24"/>
      <c r="M703" s="24"/>
      <c r="N703" s="24"/>
      <c r="O703" s="24"/>
      <c r="P703" s="24"/>
      <c r="Q703" s="24"/>
    </row>
    <row r="704" spans="1:17" ht="16.2" x14ac:dyDescent="0.35">
      <c r="A704" s="20">
        <v>30897</v>
      </c>
      <c r="B704" s="21">
        <v>14.68</v>
      </c>
      <c r="C704" s="21">
        <v>2.6</v>
      </c>
      <c r="D704" s="21"/>
      <c r="E704" s="21"/>
      <c r="F704" s="21"/>
      <c r="G704" s="21"/>
      <c r="H704" s="21"/>
      <c r="I704" s="21"/>
      <c r="J704" s="24"/>
      <c r="K704" s="24"/>
      <c r="L704" s="24"/>
      <c r="M704" s="24"/>
      <c r="N704" s="24"/>
      <c r="O704" s="24"/>
      <c r="P704" s="24"/>
      <c r="Q704" s="24"/>
    </row>
    <row r="705" spans="1:17" ht="16.2" x14ac:dyDescent="0.35">
      <c r="A705" s="20">
        <v>30904</v>
      </c>
      <c r="B705" s="21">
        <v>14.54</v>
      </c>
      <c r="C705" s="21">
        <v>2.6</v>
      </c>
      <c r="D705" s="21"/>
      <c r="E705" s="21"/>
      <c r="F705" s="21"/>
      <c r="G705" s="21"/>
      <c r="H705" s="21"/>
      <c r="I705" s="21"/>
      <c r="J705" s="24"/>
      <c r="K705" s="24"/>
      <c r="L705" s="24"/>
      <c r="M705" s="24"/>
      <c r="N705" s="24"/>
      <c r="O705" s="24"/>
      <c r="P705" s="24"/>
      <c r="Q705" s="24"/>
    </row>
    <row r="706" spans="1:17" ht="16.2" x14ac:dyDescent="0.35">
      <c r="A706" s="20">
        <v>30911</v>
      </c>
      <c r="B706" s="21">
        <v>14.39</v>
      </c>
      <c r="C706" s="21">
        <v>2.6</v>
      </c>
      <c r="D706" s="21"/>
      <c r="E706" s="21"/>
      <c r="F706" s="21"/>
      <c r="G706" s="21"/>
      <c r="H706" s="21"/>
      <c r="I706" s="21"/>
      <c r="J706" s="24"/>
      <c r="K706" s="24"/>
      <c r="L706" s="24"/>
      <c r="M706" s="24"/>
      <c r="N706" s="24"/>
      <c r="O706" s="24"/>
      <c r="P706" s="24"/>
      <c r="Q706" s="24"/>
    </row>
    <row r="707" spans="1:17" ht="16.2" x14ac:dyDescent="0.35">
      <c r="A707" s="20">
        <v>30918</v>
      </c>
      <c r="B707" s="21">
        <v>14.36</v>
      </c>
      <c r="C707" s="21">
        <v>2.6</v>
      </c>
      <c r="D707" s="21"/>
      <c r="E707" s="21"/>
      <c r="F707" s="21"/>
      <c r="G707" s="21"/>
      <c r="H707" s="21"/>
      <c r="I707" s="21"/>
      <c r="J707" s="24"/>
      <c r="K707" s="24"/>
      <c r="L707" s="24"/>
      <c r="M707" s="24"/>
      <c r="N707" s="24"/>
      <c r="O707" s="24"/>
      <c r="P707" s="24"/>
      <c r="Q707" s="24"/>
    </row>
    <row r="708" spans="1:17" ht="16.2" x14ac:dyDescent="0.35">
      <c r="A708" s="20">
        <v>30925</v>
      </c>
      <c r="B708" s="21">
        <v>14.38</v>
      </c>
      <c r="C708" s="21">
        <v>2.6</v>
      </c>
      <c r="D708" s="21"/>
      <c r="E708" s="21"/>
      <c r="F708" s="21"/>
      <c r="G708" s="21"/>
      <c r="H708" s="21"/>
      <c r="I708" s="21"/>
      <c r="J708" s="24"/>
      <c r="K708" s="24"/>
      <c r="L708" s="24"/>
      <c r="M708" s="24"/>
      <c r="N708" s="24"/>
      <c r="O708" s="24"/>
      <c r="P708" s="24"/>
      <c r="Q708" s="24"/>
    </row>
    <row r="709" spans="1:17" ht="16.2" x14ac:dyDescent="0.35">
      <c r="A709" s="20">
        <v>30932</v>
      </c>
      <c r="B709" s="21">
        <v>14.42</v>
      </c>
      <c r="C709" s="21">
        <v>2.6</v>
      </c>
      <c r="D709" s="21"/>
      <c r="E709" s="21"/>
      <c r="F709" s="21"/>
      <c r="G709" s="21"/>
      <c r="H709" s="21"/>
      <c r="I709" s="21"/>
      <c r="J709" s="24"/>
      <c r="K709" s="24"/>
      <c r="L709" s="24"/>
      <c r="M709" s="24"/>
      <c r="N709" s="24"/>
      <c r="O709" s="24"/>
      <c r="P709" s="24"/>
      <c r="Q709" s="24"/>
    </row>
    <row r="710" spans="1:17" ht="16.2" x14ac:dyDescent="0.35">
      <c r="A710" s="20">
        <v>30939</v>
      </c>
      <c r="B710" s="21">
        <v>14.43</v>
      </c>
      <c r="C710" s="21">
        <v>2.5</v>
      </c>
      <c r="D710" s="21"/>
      <c r="E710" s="21"/>
      <c r="F710" s="21"/>
      <c r="G710" s="21"/>
      <c r="H710" s="21"/>
      <c r="I710" s="21"/>
      <c r="J710" s="24"/>
      <c r="K710" s="24"/>
      <c r="L710" s="24"/>
      <c r="M710" s="24"/>
      <c r="N710" s="24"/>
      <c r="O710" s="24"/>
      <c r="P710" s="24"/>
      <c r="Q710" s="24"/>
    </row>
    <row r="711" spans="1:17" ht="16.2" x14ac:dyDescent="0.35">
      <c r="A711" s="20">
        <v>30946</v>
      </c>
      <c r="B711" s="21">
        <v>14.29</v>
      </c>
      <c r="C711" s="21">
        <v>2.7</v>
      </c>
      <c r="D711" s="21"/>
      <c r="E711" s="21"/>
      <c r="F711" s="21"/>
      <c r="G711" s="21"/>
      <c r="H711" s="21"/>
      <c r="I711" s="21"/>
      <c r="J711" s="24"/>
      <c r="K711" s="24"/>
      <c r="L711" s="24"/>
      <c r="M711" s="24"/>
      <c r="N711" s="24"/>
      <c r="O711" s="24"/>
      <c r="P711" s="24"/>
      <c r="Q711" s="24"/>
    </row>
    <row r="712" spans="1:17" ht="16.2" x14ac:dyDescent="0.35">
      <c r="A712" s="20">
        <v>30953</v>
      </c>
      <c r="B712" s="21">
        <v>14.26</v>
      </c>
      <c r="C712" s="21">
        <v>2.5</v>
      </c>
      <c r="D712" s="21"/>
      <c r="E712" s="21"/>
      <c r="F712" s="21"/>
      <c r="G712" s="21"/>
      <c r="H712" s="21"/>
      <c r="I712" s="21"/>
      <c r="J712" s="24"/>
      <c r="K712" s="24"/>
      <c r="L712" s="24"/>
      <c r="M712" s="24"/>
      <c r="N712" s="24"/>
      <c r="O712" s="24"/>
      <c r="P712" s="24"/>
      <c r="Q712" s="24"/>
    </row>
    <row r="713" spans="1:17" ht="16.2" x14ac:dyDescent="0.35">
      <c r="A713" s="20">
        <v>30960</v>
      </c>
      <c r="B713" s="21">
        <v>14.18</v>
      </c>
      <c r="C713" s="21">
        <v>2.6</v>
      </c>
      <c r="D713" s="21"/>
      <c r="E713" s="21"/>
      <c r="F713" s="21"/>
      <c r="G713" s="21"/>
      <c r="H713" s="21"/>
      <c r="I713" s="21"/>
      <c r="J713" s="24"/>
      <c r="K713" s="24"/>
      <c r="L713" s="24"/>
      <c r="M713" s="24"/>
      <c r="N713" s="24"/>
      <c r="O713" s="24"/>
      <c r="P713" s="24"/>
      <c r="Q713" s="24"/>
    </row>
    <row r="714" spans="1:17" ht="16.2" x14ac:dyDescent="0.35">
      <c r="A714" s="20">
        <v>30967</v>
      </c>
      <c r="B714" s="21">
        <v>14.19</v>
      </c>
      <c r="C714" s="21">
        <v>2.6</v>
      </c>
      <c r="D714" s="21"/>
      <c r="E714" s="21"/>
      <c r="F714" s="21"/>
      <c r="G714" s="21"/>
      <c r="H714" s="21"/>
      <c r="I714" s="21"/>
      <c r="J714" s="24"/>
      <c r="K714" s="24"/>
      <c r="L714" s="24"/>
      <c r="M714" s="24"/>
      <c r="N714" s="24"/>
      <c r="O714" s="24"/>
      <c r="P714" s="24"/>
      <c r="Q714" s="24"/>
    </row>
    <row r="715" spans="1:17" ht="16.2" x14ac:dyDescent="0.35">
      <c r="A715" s="20">
        <v>30974</v>
      </c>
      <c r="B715" s="21">
        <v>14.1</v>
      </c>
      <c r="C715" s="21">
        <v>2.6</v>
      </c>
      <c r="D715" s="21"/>
      <c r="E715" s="21"/>
      <c r="F715" s="21"/>
      <c r="G715" s="21"/>
      <c r="H715" s="21"/>
      <c r="I715" s="21"/>
      <c r="J715" s="24"/>
      <c r="K715" s="24"/>
      <c r="L715" s="24"/>
      <c r="M715" s="24"/>
      <c r="N715" s="24"/>
      <c r="O715" s="24"/>
      <c r="P715" s="24"/>
      <c r="Q715" s="24"/>
    </row>
    <row r="716" spans="1:17" ht="16.2" x14ac:dyDescent="0.35">
      <c r="A716" s="20">
        <v>30981</v>
      </c>
      <c r="B716" s="21">
        <v>14.05</v>
      </c>
      <c r="C716" s="21">
        <v>2.6</v>
      </c>
      <c r="D716" s="21"/>
      <c r="E716" s="21"/>
      <c r="F716" s="21"/>
      <c r="G716" s="21"/>
      <c r="H716" s="21"/>
      <c r="I716" s="21"/>
      <c r="J716" s="24"/>
      <c r="K716" s="24"/>
      <c r="L716" s="24"/>
      <c r="M716" s="24"/>
      <c r="N716" s="24"/>
      <c r="O716" s="24"/>
      <c r="P716" s="24"/>
      <c r="Q716" s="24"/>
    </row>
    <row r="717" spans="1:17" ht="16.2" x14ac:dyDescent="0.35">
      <c r="A717" s="20">
        <v>30988</v>
      </c>
      <c r="B717" s="21">
        <v>13.85</v>
      </c>
      <c r="C717" s="21">
        <v>2.5</v>
      </c>
      <c r="D717" s="21"/>
      <c r="E717" s="21"/>
      <c r="F717" s="21"/>
      <c r="G717" s="21"/>
      <c r="H717" s="21"/>
      <c r="I717" s="21"/>
      <c r="J717" s="24"/>
      <c r="K717" s="24"/>
      <c r="L717" s="24"/>
      <c r="M717" s="24"/>
      <c r="N717" s="24"/>
      <c r="O717" s="24"/>
      <c r="P717" s="24"/>
      <c r="Q717" s="24"/>
    </row>
    <row r="718" spans="1:17" ht="16.2" x14ac:dyDescent="0.35">
      <c r="A718" s="20">
        <v>30995</v>
      </c>
      <c r="B718" s="21">
        <v>13.74</v>
      </c>
      <c r="C718" s="21">
        <v>2.5</v>
      </c>
      <c r="D718" s="21"/>
      <c r="E718" s="21"/>
      <c r="F718" s="21"/>
      <c r="G718" s="21"/>
      <c r="H718" s="21"/>
      <c r="I718" s="21"/>
      <c r="J718" s="24"/>
      <c r="K718" s="24"/>
      <c r="L718" s="24"/>
      <c r="M718" s="24"/>
      <c r="N718" s="24"/>
      <c r="O718" s="24"/>
      <c r="P718" s="24"/>
      <c r="Q718" s="24"/>
    </row>
    <row r="719" spans="1:17" ht="16.2" x14ac:dyDescent="0.35">
      <c r="A719" s="20">
        <v>31002</v>
      </c>
      <c r="B719" s="21">
        <v>13.63</v>
      </c>
      <c r="C719" s="21">
        <v>2.5</v>
      </c>
      <c r="D719" s="21"/>
      <c r="E719" s="21"/>
      <c r="F719" s="21"/>
      <c r="G719" s="21"/>
      <c r="H719" s="21"/>
      <c r="I719" s="21"/>
      <c r="J719" s="24"/>
      <c r="K719" s="24"/>
      <c r="L719" s="24"/>
      <c r="M719" s="24"/>
      <c r="N719" s="24"/>
      <c r="O719" s="24"/>
      <c r="P719" s="24"/>
      <c r="Q719" s="24"/>
    </row>
    <row r="720" spans="1:17" ht="16.2" x14ac:dyDescent="0.35">
      <c r="A720" s="20">
        <v>31009</v>
      </c>
      <c r="B720" s="21">
        <v>13.55</v>
      </c>
      <c r="C720" s="21">
        <v>2.5</v>
      </c>
      <c r="D720" s="21"/>
      <c r="E720" s="21"/>
      <c r="F720" s="21"/>
      <c r="G720" s="21"/>
      <c r="H720" s="21"/>
      <c r="I720" s="21"/>
      <c r="J720" s="24"/>
      <c r="K720" s="24"/>
      <c r="L720" s="24"/>
      <c r="M720" s="24"/>
      <c r="N720" s="24"/>
      <c r="O720" s="24"/>
      <c r="P720" s="24"/>
      <c r="Q720" s="24"/>
    </row>
    <row r="721" spans="1:17" ht="16.2" x14ac:dyDescent="0.35">
      <c r="A721" s="20">
        <v>31016</v>
      </c>
      <c r="B721" s="21">
        <v>13.42</v>
      </c>
      <c r="C721" s="21">
        <v>2.4</v>
      </c>
      <c r="D721" s="21"/>
      <c r="E721" s="21"/>
      <c r="F721" s="21"/>
      <c r="G721" s="21"/>
      <c r="H721" s="21"/>
      <c r="I721" s="21"/>
      <c r="J721" s="24"/>
      <c r="K721" s="24"/>
      <c r="L721" s="24"/>
      <c r="M721" s="24"/>
      <c r="N721" s="24"/>
      <c r="O721" s="24"/>
      <c r="P721" s="24"/>
      <c r="Q721" s="24"/>
    </row>
    <row r="722" spans="1:17" ht="16.2" x14ac:dyDescent="0.35">
      <c r="A722" s="20">
        <v>31023</v>
      </c>
      <c r="B722" s="21">
        <v>13.2</v>
      </c>
      <c r="C722" s="21">
        <v>2.6</v>
      </c>
      <c r="D722" s="21"/>
      <c r="E722" s="21"/>
      <c r="F722" s="21"/>
      <c r="G722" s="21"/>
      <c r="H722" s="21"/>
      <c r="I722" s="21"/>
      <c r="J722" s="24"/>
      <c r="K722" s="24"/>
      <c r="L722" s="24"/>
      <c r="M722" s="24"/>
      <c r="N722" s="24"/>
      <c r="O722" s="24"/>
      <c r="P722" s="24"/>
      <c r="Q722" s="24"/>
    </row>
    <row r="723" spans="1:17" ht="16.2" x14ac:dyDescent="0.35">
      <c r="A723" s="20">
        <v>31030</v>
      </c>
      <c r="B723" s="21">
        <v>13.2</v>
      </c>
      <c r="C723" s="21">
        <v>2.5</v>
      </c>
      <c r="D723" s="21"/>
      <c r="E723" s="21"/>
      <c r="F723" s="21"/>
      <c r="G723" s="21"/>
      <c r="H723" s="21"/>
      <c r="I723" s="21"/>
      <c r="J723" s="24"/>
      <c r="K723" s="24"/>
      <c r="L723" s="24"/>
      <c r="M723" s="24"/>
      <c r="N723" s="24"/>
      <c r="O723" s="24"/>
      <c r="P723" s="24"/>
      <c r="Q723" s="24"/>
    </row>
    <row r="724" spans="1:17" ht="16.2" x14ac:dyDescent="0.35">
      <c r="A724" s="20">
        <v>31037</v>
      </c>
      <c r="B724" s="21">
        <v>13.18</v>
      </c>
      <c r="C724" s="21">
        <v>2.5</v>
      </c>
      <c r="D724" s="21"/>
      <c r="E724" s="21"/>
      <c r="F724" s="21"/>
      <c r="G724" s="21"/>
      <c r="H724" s="21"/>
      <c r="I724" s="21"/>
      <c r="J724" s="24"/>
      <c r="K724" s="24"/>
      <c r="L724" s="24"/>
      <c r="M724" s="24"/>
      <c r="N724" s="24"/>
      <c r="O724" s="24"/>
      <c r="P724" s="24"/>
      <c r="Q724" s="24"/>
    </row>
    <row r="725" spans="1:17" ht="16.2" x14ac:dyDescent="0.35">
      <c r="A725" s="20">
        <v>31044</v>
      </c>
      <c r="B725" s="21">
        <v>13.14</v>
      </c>
      <c r="C725" s="21">
        <v>2.5</v>
      </c>
      <c r="D725" s="21"/>
      <c r="E725" s="21"/>
      <c r="F725" s="21"/>
      <c r="G725" s="21"/>
      <c r="H725" s="21"/>
      <c r="I725" s="21"/>
      <c r="J725" s="24"/>
      <c r="K725" s="24"/>
      <c r="L725" s="24"/>
      <c r="M725" s="24"/>
      <c r="N725" s="24"/>
      <c r="O725" s="24"/>
      <c r="P725" s="24"/>
      <c r="Q725" s="24"/>
    </row>
    <row r="726" spans="1:17" ht="16.2" x14ac:dyDescent="0.35">
      <c r="A726" s="20">
        <v>31051</v>
      </c>
      <c r="B726" s="21">
        <v>13.1</v>
      </c>
      <c r="C726" s="21">
        <v>2.5</v>
      </c>
      <c r="D726" s="21"/>
      <c r="E726" s="21"/>
      <c r="F726" s="21"/>
      <c r="G726" s="21"/>
      <c r="H726" s="21"/>
      <c r="I726" s="21"/>
      <c r="J726" s="24"/>
      <c r="K726" s="24"/>
      <c r="L726" s="24"/>
      <c r="M726" s="24"/>
      <c r="N726" s="24"/>
      <c r="O726" s="24"/>
      <c r="P726" s="24"/>
      <c r="Q726" s="24"/>
    </row>
    <row r="727" spans="1:17" ht="16.2" x14ac:dyDescent="0.35">
      <c r="A727" s="20">
        <v>31058</v>
      </c>
      <c r="B727" s="21">
        <v>13.12</v>
      </c>
      <c r="C727" s="21">
        <v>2.5</v>
      </c>
      <c r="D727" s="21"/>
      <c r="E727" s="21"/>
      <c r="F727" s="21"/>
      <c r="G727" s="21"/>
      <c r="H727" s="21"/>
      <c r="I727" s="21"/>
      <c r="J727" s="24"/>
      <c r="K727" s="24"/>
      <c r="L727" s="24"/>
      <c r="M727" s="24"/>
      <c r="N727" s="24"/>
      <c r="O727" s="24"/>
      <c r="P727" s="24"/>
      <c r="Q727" s="24"/>
    </row>
    <row r="728" spans="1:17" ht="16.2" x14ac:dyDescent="0.35">
      <c r="A728" s="20">
        <v>31065</v>
      </c>
      <c r="B728" s="21">
        <v>13.12</v>
      </c>
      <c r="C728" s="21">
        <v>2.5</v>
      </c>
      <c r="D728" s="21"/>
      <c r="E728" s="21"/>
      <c r="F728" s="21"/>
      <c r="G728" s="21"/>
      <c r="H728" s="21"/>
      <c r="I728" s="21"/>
      <c r="J728" s="24"/>
      <c r="K728" s="24"/>
      <c r="L728" s="24"/>
      <c r="M728" s="24"/>
      <c r="N728" s="24"/>
      <c r="O728" s="24"/>
      <c r="P728" s="24"/>
      <c r="Q728" s="24"/>
    </row>
    <row r="729" spans="1:17" ht="16.2" x14ac:dyDescent="0.35">
      <c r="A729" s="20">
        <v>31072</v>
      </c>
      <c r="B729" s="21">
        <v>12.96</v>
      </c>
      <c r="C729" s="21">
        <v>2.5</v>
      </c>
      <c r="D729" s="21"/>
      <c r="E729" s="21"/>
      <c r="F729" s="21"/>
      <c r="G729" s="21"/>
      <c r="H729" s="21"/>
      <c r="I729" s="21"/>
      <c r="J729" s="24"/>
      <c r="K729" s="24"/>
      <c r="L729" s="24"/>
      <c r="M729" s="24"/>
      <c r="N729" s="24"/>
      <c r="O729" s="24"/>
      <c r="P729" s="24"/>
      <c r="Q729" s="24"/>
    </row>
    <row r="730" spans="1:17" ht="16.2" x14ac:dyDescent="0.35">
      <c r="A730" s="20">
        <v>31079</v>
      </c>
      <c r="B730" s="21">
        <v>12.93</v>
      </c>
      <c r="C730" s="21">
        <v>2.4</v>
      </c>
      <c r="D730" s="21"/>
      <c r="E730" s="21"/>
      <c r="F730" s="21"/>
      <c r="G730" s="21"/>
      <c r="H730" s="21"/>
      <c r="I730" s="21"/>
      <c r="J730" s="24"/>
      <c r="K730" s="24"/>
      <c r="L730" s="24"/>
      <c r="M730" s="24"/>
      <c r="N730" s="24"/>
      <c r="O730" s="24"/>
      <c r="P730" s="24"/>
      <c r="Q730" s="24"/>
    </row>
    <row r="731" spans="1:17" ht="16.2" x14ac:dyDescent="0.35">
      <c r="A731" s="20">
        <v>31086</v>
      </c>
      <c r="B731" s="21">
        <v>12.91</v>
      </c>
      <c r="C731" s="21">
        <v>2.4</v>
      </c>
      <c r="D731" s="21"/>
      <c r="E731" s="21"/>
      <c r="F731" s="21"/>
      <c r="G731" s="21"/>
      <c r="H731" s="21"/>
      <c r="I731" s="21"/>
      <c r="J731" s="24"/>
      <c r="K731" s="24"/>
      <c r="L731" s="24"/>
      <c r="M731" s="24"/>
      <c r="N731" s="24"/>
      <c r="O731" s="24"/>
      <c r="P731" s="24"/>
      <c r="Q731" s="24"/>
    </row>
    <row r="732" spans="1:17" ht="16.2" x14ac:dyDescent="0.35">
      <c r="A732" s="20">
        <v>31093</v>
      </c>
      <c r="B732" s="21">
        <v>12.9</v>
      </c>
      <c r="C732" s="21">
        <v>2.5</v>
      </c>
      <c r="D732" s="21"/>
      <c r="E732" s="21"/>
      <c r="F732" s="21"/>
      <c r="G732" s="21"/>
      <c r="H732" s="21"/>
      <c r="I732" s="21"/>
      <c r="J732" s="24"/>
      <c r="K732" s="24"/>
      <c r="L732" s="24"/>
      <c r="M732" s="24"/>
      <c r="N732" s="24"/>
      <c r="O732" s="24"/>
      <c r="P732" s="24"/>
      <c r="Q732" s="24"/>
    </row>
    <row r="733" spans="1:17" ht="16.2" x14ac:dyDescent="0.35">
      <c r="A733" s="20">
        <v>31100</v>
      </c>
      <c r="B733" s="21">
        <v>12.94</v>
      </c>
      <c r="C733" s="21">
        <v>2.4</v>
      </c>
      <c r="D733" s="21"/>
      <c r="E733" s="21"/>
      <c r="F733" s="21"/>
      <c r="G733" s="21"/>
      <c r="H733" s="21"/>
      <c r="I733" s="21"/>
      <c r="J733" s="24"/>
      <c r="K733" s="24"/>
      <c r="L733" s="24"/>
      <c r="M733" s="24"/>
      <c r="N733" s="24"/>
      <c r="O733" s="24"/>
      <c r="P733" s="24"/>
      <c r="Q733" s="24"/>
    </row>
    <row r="734" spans="1:17" ht="16.2" x14ac:dyDescent="0.35">
      <c r="A734" s="20">
        <v>31107</v>
      </c>
      <c r="B734" s="21">
        <v>13.02</v>
      </c>
      <c r="C734" s="21">
        <v>2.5</v>
      </c>
      <c r="D734" s="21"/>
      <c r="E734" s="21"/>
      <c r="F734" s="21"/>
      <c r="G734" s="21"/>
      <c r="H734" s="21"/>
      <c r="I734" s="21"/>
      <c r="J734" s="24"/>
      <c r="K734" s="24"/>
      <c r="L734" s="24"/>
      <c r="M734" s="24"/>
      <c r="N734" s="24"/>
      <c r="O734" s="24"/>
      <c r="P734" s="24"/>
      <c r="Q734" s="24"/>
    </row>
    <row r="735" spans="1:17" ht="16.2" x14ac:dyDescent="0.35">
      <c r="A735" s="20">
        <v>31114</v>
      </c>
      <c r="B735" s="21">
        <v>13.1</v>
      </c>
      <c r="C735" s="21">
        <v>2.6</v>
      </c>
      <c r="D735" s="21"/>
      <c r="E735" s="21"/>
      <c r="F735" s="21"/>
      <c r="G735" s="21"/>
      <c r="H735" s="21"/>
      <c r="I735" s="21"/>
      <c r="J735" s="24"/>
      <c r="K735" s="24"/>
      <c r="L735" s="24"/>
      <c r="M735" s="24"/>
      <c r="N735" s="24"/>
      <c r="O735" s="24"/>
      <c r="P735" s="24"/>
      <c r="Q735" s="24"/>
    </row>
    <row r="736" spans="1:17" ht="16.2" x14ac:dyDescent="0.35">
      <c r="A736" s="20">
        <v>31121</v>
      </c>
      <c r="B736" s="21">
        <v>13.2</v>
      </c>
      <c r="C736" s="21">
        <v>2.6</v>
      </c>
      <c r="D736" s="21"/>
      <c r="E736" s="21"/>
      <c r="F736" s="21"/>
      <c r="G736" s="21"/>
      <c r="H736" s="21"/>
      <c r="I736" s="21"/>
      <c r="J736" s="24"/>
      <c r="K736" s="24"/>
      <c r="L736" s="24"/>
      <c r="M736" s="24"/>
      <c r="N736" s="24"/>
      <c r="O736" s="24"/>
      <c r="P736" s="24"/>
      <c r="Q736" s="24"/>
    </row>
    <row r="737" spans="1:17" ht="16.2" x14ac:dyDescent="0.35">
      <c r="A737" s="20">
        <v>31128</v>
      </c>
      <c r="B737" s="21">
        <v>13.24</v>
      </c>
      <c r="C737" s="21">
        <v>2.7</v>
      </c>
      <c r="D737" s="21"/>
      <c r="E737" s="21"/>
      <c r="F737" s="21"/>
      <c r="G737" s="21"/>
      <c r="H737" s="21"/>
      <c r="I737" s="21"/>
      <c r="J737" s="24"/>
      <c r="K737" s="24"/>
      <c r="L737" s="24"/>
      <c r="M737" s="24"/>
      <c r="N737" s="24"/>
      <c r="O737" s="24"/>
      <c r="P737" s="24"/>
      <c r="Q737" s="24"/>
    </row>
    <row r="738" spans="1:17" ht="16.2" x14ac:dyDescent="0.35">
      <c r="A738" s="20">
        <v>31135</v>
      </c>
      <c r="B738" s="21">
        <v>13.29</v>
      </c>
      <c r="C738" s="21">
        <v>2.7</v>
      </c>
      <c r="D738" s="21"/>
      <c r="E738" s="21"/>
      <c r="F738" s="21"/>
      <c r="G738" s="21"/>
      <c r="H738" s="21"/>
      <c r="I738" s="21"/>
      <c r="J738" s="24"/>
      <c r="K738" s="24"/>
      <c r="L738" s="24"/>
      <c r="M738" s="24"/>
      <c r="N738" s="24"/>
      <c r="O738" s="24"/>
      <c r="P738" s="24"/>
      <c r="Q738" s="24"/>
    </row>
    <row r="739" spans="1:17" ht="16.2" x14ac:dyDescent="0.35">
      <c r="A739" s="20">
        <v>31142</v>
      </c>
      <c r="B739" s="21">
        <v>13.27</v>
      </c>
      <c r="C739" s="21">
        <v>2.7</v>
      </c>
      <c r="D739" s="21"/>
      <c r="E739" s="21"/>
      <c r="F739" s="21"/>
      <c r="G739" s="21"/>
      <c r="H739" s="21"/>
      <c r="I739" s="21"/>
      <c r="J739" s="24"/>
      <c r="K739" s="24"/>
      <c r="L739" s="24"/>
      <c r="M739" s="24"/>
      <c r="N739" s="24"/>
      <c r="O739" s="24"/>
      <c r="P739" s="24"/>
      <c r="Q739" s="24"/>
    </row>
    <row r="740" spans="1:17" ht="16.2" x14ac:dyDescent="0.35">
      <c r="A740" s="20">
        <v>31149</v>
      </c>
      <c r="B740" s="21">
        <v>13.23</v>
      </c>
      <c r="C740" s="21">
        <v>2.6</v>
      </c>
      <c r="D740" s="21"/>
      <c r="E740" s="21"/>
      <c r="F740" s="21"/>
      <c r="G740" s="21"/>
      <c r="H740" s="21"/>
      <c r="I740" s="21"/>
      <c r="J740" s="24"/>
      <c r="K740" s="24"/>
      <c r="L740" s="24"/>
      <c r="M740" s="24"/>
      <c r="N740" s="24"/>
      <c r="O740" s="24"/>
      <c r="P740" s="24"/>
      <c r="Q740" s="24"/>
    </row>
    <row r="741" spans="1:17" ht="16.2" x14ac:dyDescent="0.35">
      <c r="A741" s="20">
        <v>31156</v>
      </c>
      <c r="B741" s="21">
        <v>13.16</v>
      </c>
      <c r="C741" s="21">
        <v>2.6</v>
      </c>
      <c r="D741" s="21"/>
      <c r="E741" s="21"/>
      <c r="F741" s="21"/>
      <c r="G741" s="21"/>
      <c r="H741" s="21"/>
      <c r="I741" s="21"/>
      <c r="J741" s="24"/>
      <c r="K741" s="24"/>
      <c r="L741" s="24"/>
      <c r="M741" s="24"/>
      <c r="N741" s="24"/>
      <c r="O741" s="24"/>
      <c r="P741" s="24"/>
      <c r="Q741" s="24"/>
    </row>
    <row r="742" spans="1:17" ht="16.2" x14ac:dyDescent="0.35">
      <c r="A742" s="20">
        <v>31163</v>
      </c>
      <c r="B742" s="21">
        <v>13.12</v>
      </c>
      <c r="C742" s="21">
        <v>2.5</v>
      </c>
      <c r="D742" s="21"/>
      <c r="E742" s="21"/>
      <c r="F742" s="21"/>
      <c r="G742" s="21"/>
      <c r="H742" s="21"/>
      <c r="I742" s="21"/>
      <c r="J742" s="24"/>
      <c r="K742" s="24"/>
      <c r="L742" s="24"/>
      <c r="M742" s="24"/>
      <c r="N742" s="24"/>
      <c r="O742" s="24"/>
      <c r="P742" s="24"/>
      <c r="Q742" s="24"/>
    </row>
    <row r="743" spans="1:17" ht="16.2" x14ac:dyDescent="0.35">
      <c r="A743" s="20">
        <v>31170</v>
      </c>
      <c r="B743" s="21">
        <v>13.07</v>
      </c>
      <c r="C743" s="21">
        <v>2.6</v>
      </c>
      <c r="D743" s="21"/>
      <c r="E743" s="21"/>
      <c r="F743" s="21"/>
      <c r="G743" s="21"/>
      <c r="H743" s="21"/>
      <c r="I743" s="21"/>
      <c r="J743" s="24"/>
      <c r="K743" s="24"/>
      <c r="L743" s="24"/>
      <c r="M743" s="24"/>
      <c r="N743" s="24"/>
      <c r="O743" s="24"/>
      <c r="P743" s="24"/>
      <c r="Q743" s="24"/>
    </row>
    <row r="744" spans="1:17" ht="16.2" x14ac:dyDescent="0.35">
      <c r="A744" s="20">
        <v>31177</v>
      </c>
      <c r="B744" s="21">
        <v>13.02</v>
      </c>
      <c r="C744" s="21">
        <v>2.6</v>
      </c>
      <c r="D744" s="21"/>
      <c r="E744" s="21"/>
      <c r="F744" s="21"/>
      <c r="G744" s="21"/>
      <c r="H744" s="21"/>
      <c r="I744" s="21"/>
      <c r="J744" s="24"/>
      <c r="K744" s="24"/>
      <c r="L744" s="24"/>
      <c r="M744" s="24"/>
      <c r="N744" s="24"/>
      <c r="O744" s="24"/>
      <c r="P744" s="24"/>
      <c r="Q744" s="24"/>
    </row>
    <row r="745" spans="1:17" ht="16.2" x14ac:dyDescent="0.35">
      <c r="A745" s="20">
        <v>31184</v>
      </c>
      <c r="B745" s="21">
        <v>12.94</v>
      </c>
      <c r="C745" s="21">
        <v>2.5</v>
      </c>
      <c r="D745" s="21"/>
      <c r="E745" s="21"/>
      <c r="F745" s="21"/>
      <c r="G745" s="21"/>
      <c r="H745" s="21"/>
      <c r="I745" s="21"/>
      <c r="J745" s="24"/>
      <c r="K745" s="24"/>
      <c r="L745" s="24"/>
      <c r="M745" s="24"/>
      <c r="N745" s="24"/>
      <c r="O745" s="24"/>
      <c r="P745" s="24"/>
      <c r="Q745" s="24"/>
    </row>
    <row r="746" spans="1:17" ht="16.2" x14ac:dyDescent="0.35">
      <c r="A746" s="20">
        <v>31191</v>
      </c>
      <c r="B746" s="21">
        <v>12.83</v>
      </c>
      <c r="C746" s="21">
        <v>2.5</v>
      </c>
      <c r="D746" s="21"/>
      <c r="E746" s="21"/>
      <c r="F746" s="21"/>
      <c r="G746" s="21"/>
      <c r="H746" s="21"/>
      <c r="I746" s="21"/>
      <c r="J746" s="24"/>
      <c r="K746" s="24"/>
      <c r="L746" s="24"/>
      <c r="M746" s="24"/>
      <c r="N746" s="24"/>
      <c r="O746" s="24"/>
      <c r="P746" s="24"/>
      <c r="Q746" s="24"/>
    </row>
    <row r="747" spans="1:17" ht="16.2" x14ac:dyDescent="0.35">
      <c r="A747" s="20">
        <v>31198</v>
      </c>
      <c r="B747" s="21">
        <v>12.71</v>
      </c>
      <c r="C747" s="21">
        <v>2.5</v>
      </c>
      <c r="D747" s="21"/>
      <c r="E747" s="21"/>
      <c r="F747" s="21"/>
      <c r="G747" s="21"/>
      <c r="H747" s="21"/>
      <c r="I747" s="21"/>
      <c r="J747" s="24"/>
      <c r="K747" s="24"/>
      <c r="L747" s="24"/>
      <c r="M747" s="24"/>
      <c r="N747" s="24"/>
      <c r="O747" s="24"/>
      <c r="P747" s="24"/>
      <c r="Q747" s="24"/>
    </row>
    <row r="748" spans="1:17" ht="16.2" x14ac:dyDescent="0.35">
      <c r="A748" s="20">
        <v>31205</v>
      </c>
      <c r="B748" s="21">
        <v>12.39</v>
      </c>
      <c r="C748" s="21">
        <v>2.5</v>
      </c>
      <c r="D748" s="21"/>
      <c r="E748" s="21"/>
      <c r="F748" s="21"/>
      <c r="G748" s="21"/>
      <c r="H748" s="21"/>
      <c r="I748" s="21"/>
      <c r="J748" s="24"/>
      <c r="K748" s="24"/>
      <c r="L748" s="24"/>
      <c r="M748" s="24"/>
      <c r="N748" s="24"/>
      <c r="O748" s="24"/>
      <c r="P748" s="24"/>
      <c r="Q748" s="24"/>
    </row>
    <row r="749" spans="1:17" ht="16.2" x14ac:dyDescent="0.35">
      <c r="A749" s="20">
        <v>31212</v>
      </c>
      <c r="B749" s="21">
        <v>12.27</v>
      </c>
      <c r="C749" s="21">
        <v>2.5</v>
      </c>
      <c r="D749" s="21"/>
      <c r="E749" s="21"/>
      <c r="F749" s="21"/>
      <c r="G749" s="21"/>
      <c r="H749" s="21"/>
      <c r="I749" s="21"/>
      <c r="J749" s="24"/>
      <c r="K749" s="24"/>
      <c r="L749" s="24"/>
      <c r="M749" s="24"/>
      <c r="N749" s="24"/>
      <c r="O749" s="24"/>
      <c r="P749" s="24"/>
      <c r="Q749" s="24"/>
    </row>
    <row r="750" spans="1:17" ht="16.2" x14ac:dyDescent="0.35">
      <c r="A750" s="20">
        <v>31219</v>
      </c>
      <c r="B750" s="21">
        <v>12.05</v>
      </c>
      <c r="C750" s="21">
        <v>2.6</v>
      </c>
      <c r="D750" s="21"/>
      <c r="E750" s="21"/>
      <c r="F750" s="21"/>
      <c r="G750" s="21"/>
      <c r="H750" s="21"/>
      <c r="I750" s="21"/>
      <c r="J750" s="24"/>
      <c r="K750" s="24"/>
      <c r="L750" s="24"/>
      <c r="M750" s="24"/>
      <c r="N750" s="24"/>
      <c r="O750" s="24"/>
      <c r="P750" s="24"/>
      <c r="Q750" s="24"/>
    </row>
    <row r="751" spans="1:17" ht="16.2" x14ac:dyDescent="0.35">
      <c r="A751" s="20">
        <v>31226</v>
      </c>
      <c r="B751" s="21">
        <v>12.15</v>
      </c>
      <c r="C751" s="21">
        <v>2.5</v>
      </c>
      <c r="D751" s="21"/>
      <c r="E751" s="21"/>
      <c r="F751" s="21"/>
      <c r="G751" s="21"/>
      <c r="H751" s="21"/>
      <c r="I751" s="21"/>
      <c r="J751" s="24"/>
      <c r="K751" s="24"/>
      <c r="L751" s="24"/>
      <c r="M751" s="24"/>
      <c r="N751" s="24"/>
      <c r="O751" s="24"/>
      <c r="P751" s="24"/>
      <c r="Q751" s="24"/>
    </row>
    <row r="752" spans="1:17" ht="16.2" x14ac:dyDescent="0.35">
      <c r="A752" s="20">
        <v>31233</v>
      </c>
      <c r="B752" s="21">
        <v>12.13</v>
      </c>
      <c r="C752" s="21">
        <v>2.6</v>
      </c>
      <c r="D752" s="21"/>
      <c r="E752" s="21"/>
      <c r="F752" s="21"/>
      <c r="G752" s="21"/>
      <c r="H752" s="21"/>
      <c r="I752" s="21"/>
      <c r="J752" s="24"/>
      <c r="K752" s="24"/>
      <c r="L752" s="24"/>
      <c r="M752" s="24"/>
      <c r="N752" s="24"/>
      <c r="O752" s="24"/>
      <c r="P752" s="24"/>
      <c r="Q752" s="24"/>
    </row>
    <row r="753" spans="1:17" ht="16.2" x14ac:dyDescent="0.35">
      <c r="A753" s="20">
        <v>31240</v>
      </c>
      <c r="B753" s="21">
        <v>12.03</v>
      </c>
      <c r="C753" s="21">
        <v>2.5</v>
      </c>
      <c r="D753" s="21"/>
      <c r="E753" s="21"/>
      <c r="F753" s="21"/>
      <c r="G753" s="21"/>
      <c r="H753" s="21"/>
      <c r="I753" s="21"/>
      <c r="J753" s="24"/>
      <c r="K753" s="24"/>
      <c r="L753" s="24"/>
      <c r="M753" s="24"/>
      <c r="N753" s="24"/>
      <c r="O753" s="24"/>
      <c r="P753" s="24"/>
      <c r="Q753" s="24"/>
    </row>
    <row r="754" spans="1:17" ht="16.2" x14ac:dyDescent="0.35">
      <c r="A754" s="20">
        <v>31247</v>
      </c>
      <c r="B754" s="21">
        <v>11.94</v>
      </c>
      <c r="C754" s="21">
        <v>2.4</v>
      </c>
      <c r="D754" s="21"/>
      <c r="E754" s="21"/>
      <c r="F754" s="21"/>
      <c r="G754" s="21"/>
      <c r="H754" s="21"/>
      <c r="I754" s="21"/>
      <c r="J754" s="24"/>
      <c r="K754" s="24"/>
      <c r="L754" s="24"/>
      <c r="M754" s="24"/>
      <c r="N754" s="24"/>
      <c r="O754" s="24"/>
      <c r="P754" s="24"/>
      <c r="Q754" s="24"/>
    </row>
    <row r="755" spans="1:17" ht="16.2" x14ac:dyDescent="0.35">
      <c r="A755" s="20">
        <v>31254</v>
      </c>
      <c r="B755" s="21">
        <v>12.03</v>
      </c>
      <c r="C755" s="21">
        <v>2.6</v>
      </c>
      <c r="D755" s="21"/>
      <c r="E755" s="21"/>
      <c r="F755" s="21"/>
      <c r="G755" s="21"/>
      <c r="H755" s="21"/>
      <c r="I755" s="21"/>
      <c r="J755" s="24"/>
      <c r="K755" s="24"/>
      <c r="L755" s="24"/>
      <c r="M755" s="24"/>
      <c r="N755" s="24"/>
      <c r="O755" s="24"/>
      <c r="P755" s="24"/>
      <c r="Q755" s="24"/>
    </row>
    <row r="756" spans="1:17" ht="16.2" x14ac:dyDescent="0.35">
      <c r="A756" s="20">
        <v>31261</v>
      </c>
      <c r="B756" s="21">
        <v>12.17</v>
      </c>
      <c r="C756" s="21">
        <v>2.6</v>
      </c>
      <c r="D756" s="21"/>
      <c r="E756" s="21"/>
      <c r="F756" s="21"/>
      <c r="G756" s="21"/>
      <c r="H756" s="21"/>
      <c r="I756" s="21"/>
      <c r="J756" s="24"/>
      <c r="K756" s="24"/>
      <c r="L756" s="24"/>
      <c r="M756" s="24"/>
      <c r="N756" s="24"/>
      <c r="O756" s="24"/>
      <c r="P756" s="24"/>
      <c r="Q756" s="24"/>
    </row>
    <row r="757" spans="1:17" ht="16.2" x14ac:dyDescent="0.35">
      <c r="A757" s="20">
        <v>31268</v>
      </c>
      <c r="B757" s="21">
        <v>12.23</v>
      </c>
      <c r="C757" s="21">
        <v>2.6</v>
      </c>
      <c r="D757" s="21"/>
      <c r="E757" s="21"/>
      <c r="F757" s="21"/>
      <c r="G757" s="21"/>
      <c r="H757" s="21"/>
      <c r="I757" s="21"/>
      <c r="J757" s="24"/>
      <c r="K757" s="24"/>
      <c r="L757" s="24"/>
      <c r="M757" s="24"/>
      <c r="N757" s="24"/>
      <c r="O757" s="24"/>
      <c r="P757" s="24"/>
      <c r="Q757" s="24"/>
    </row>
    <row r="758" spans="1:17" ht="16.2" x14ac:dyDescent="0.35">
      <c r="A758" s="20">
        <v>31275</v>
      </c>
      <c r="B758" s="21">
        <v>12.24</v>
      </c>
      <c r="C758" s="21">
        <v>2.7</v>
      </c>
      <c r="D758" s="21"/>
      <c r="E758" s="21"/>
      <c r="F758" s="21"/>
      <c r="G758" s="21"/>
      <c r="H758" s="21"/>
      <c r="I758" s="21"/>
      <c r="J758" s="24"/>
      <c r="K758" s="24"/>
      <c r="L758" s="24"/>
      <c r="M758" s="24"/>
      <c r="N758" s="24"/>
      <c r="O758" s="24"/>
      <c r="P758" s="24"/>
      <c r="Q758" s="24"/>
    </row>
    <row r="759" spans="1:17" ht="16.2" x14ac:dyDescent="0.35">
      <c r="A759" s="20">
        <v>31282</v>
      </c>
      <c r="B759" s="21">
        <v>12.18</v>
      </c>
      <c r="C759" s="21">
        <v>2.5</v>
      </c>
      <c r="D759" s="21"/>
      <c r="E759" s="21"/>
      <c r="F759" s="21"/>
      <c r="G759" s="21"/>
      <c r="H759" s="21"/>
      <c r="I759" s="21"/>
      <c r="J759" s="24"/>
      <c r="K759" s="24"/>
      <c r="L759" s="24"/>
      <c r="M759" s="24"/>
      <c r="N759" s="24"/>
      <c r="O759" s="24"/>
      <c r="P759" s="24"/>
      <c r="Q759" s="24"/>
    </row>
    <row r="760" spans="1:17" ht="16.2" x14ac:dyDescent="0.35">
      <c r="A760" s="20">
        <v>31289</v>
      </c>
      <c r="B760" s="21">
        <v>12.11</v>
      </c>
      <c r="C760" s="21">
        <v>2.7</v>
      </c>
      <c r="D760" s="21"/>
      <c r="E760" s="21"/>
      <c r="F760" s="21"/>
      <c r="G760" s="21"/>
      <c r="H760" s="21"/>
      <c r="I760" s="21"/>
      <c r="J760" s="24"/>
      <c r="K760" s="24"/>
      <c r="L760" s="24"/>
      <c r="M760" s="24"/>
      <c r="N760" s="24"/>
      <c r="O760" s="24"/>
      <c r="P760" s="24"/>
      <c r="Q760" s="24"/>
    </row>
    <row r="761" spans="1:17" ht="16.2" x14ac:dyDescent="0.35">
      <c r="A761" s="20">
        <v>31296</v>
      </c>
      <c r="B761" s="21">
        <v>12.15</v>
      </c>
      <c r="C761" s="21">
        <v>2.5</v>
      </c>
      <c r="D761" s="21"/>
      <c r="E761" s="21"/>
      <c r="F761" s="21"/>
      <c r="G761" s="21"/>
      <c r="H761" s="21"/>
      <c r="I761" s="21"/>
      <c r="J761" s="24"/>
      <c r="K761" s="24"/>
      <c r="L761" s="24"/>
      <c r="M761" s="24"/>
      <c r="N761" s="24"/>
      <c r="O761" s="24"/>
      <c r="P761" s="24"/>
      <c r="Q761" s="24"/>
    </row>
    <row r="762" spans="1:17" ht="16.2" x14ac:dyDescent="0.35">
      <c r="A762" s="20">
        <v>31303</v>
      </c>
      <c r="B762" s="21">
        <v>12.24</v>
      </c>
      <c r="C762" s="21">
        <v>2.5</v>
      </c>
      <c r="D762" s="21"/>
      <c r="E762" s="21"/>
      <c r="F762" s="21"/>
      <c r="G762" s="21"/>
      <c r="H762" s="21"/>
      <c r="I762" s="21"/>
      <c r="J762" s="24"/>
      <c r="K762" s="24"/>
      <c r="L762" s="24"/>
      <c r="M762" s="24"/>
      <c r="N762" s="24"/>
      <c r="O762" s="24"/>
      <c r="P762" s="24"/>
      <c r="Q762" s="24"/>
    </row>
    <row r="763" spans="1:17" ht="16.2" x14ac:dyDescent="0.35">
      <c r="A763" s="20">
        <v>31310</v>
      </c>
      <c r="B763" s="21">
        <v>12.21</v>
      </c>
      <c r="C763" s="21">
        <v>2.5</v>
      </c>
      <c r="D763" s="21"/>
      <c r="E763" s="21"/>
      <c r="F763" s="21"/>
      <c r="G763" s="21"/>
      <c r="H763" s="21"/>
      <c r="I763" s="21"/>
      <c r="J763" s="24"/>
      <c r="K763" s="24"/>
      <c r="L763" s="24"/>
      <c r="M763" s="24"/>
      <c r="N763" s="24"/>
      <c r="O763" s="24"/>
      <c r="P763" s="24"/>
      <c r="Q763" s="24"/>
    </row>
    <row r="764" spans="1:17" ht="16.2" x14ac:dyDescent="0.35">
      <c r="A764" s="20">
        <v>31317</v>
      </c>
      <c r="B764" s="21">
        <v>12.17</v>
      </c>
      <c r="C764" s="21">
        <v>2.7</v>
      </c>
      <c r="D764" s="21"/>
      <c r="E764" s="21"/>
      <c r="F764" s="21"/>
      <c r="G764" s="21"/>
      <c r="H764" s="21"/>
      <c r="I764" s="21"/>
      <c r="J764" s="24"/>
      <c r="K764" s="24"/>
      <c r="L764" s="24"/>
      <c r="M764" s="24"/>
      <c r="N764" s="24"/>
      <c r="O764" s="24"/>
      <c r="P764" s="24"/>
      <c r="Q764" s="24"/>
    </row>
    <row r="765" spans="1:17" ht="16.2" x14ac:dyDescent="0.35">
      <c r="A765" s="20">
        <v>31324</v>
      </c>
      <c r="B765" s="21">
        <v>12.17</v>
      </c>
      <c r="C765" s="21">
        <v>2.6</v>
      </c>
      <c r="D765" s="21"/>
      <c r="E765" s="21"/>
      <c r="F765" s="21"/>
      <c r="G765" s="21"/>
      <c r="H765" s="21"/>
      <c r="I765" s="21"/>
      <c r="J765" s="24"/>
      <c r="K765" s="24"/>
      <c r="L765" s="24"/>
      <c r="M765" s="24"/>
      <c r="N765" s="24"/>
      <c r="O765" s="24"/>
      <c r="P765" s="24"/>
      <c r="Q765" s="24"/>
    </row>
    <row r="766" spans="1:17" ht="16.2" x14ac:dyDescent="0.35">
      <c r="A766" s="20">
        <v>31331</v>
      </c>
      <c r="B766" s="21">
        <v>12.17</v>
      </c>
      <c r="C766" s="21">
        <v>2.5</v>
      </c>
      <c r="D766" s="21"/>
      <c r="E766" s="21"/>
      <c r="F766" s="21"/>
      <c r="G766" s="21"/>
      <c r="H766" s="21"/>
      <c r="I766" s="21"/>
      <c r="J766" s="24"/>
      <c r="K766" s="24"/>
      <c r="L766" s="24"/>
      <c r="M766" s="24"/>
      <c r="N766" s="24"/>
      <c r="O766" s="24"/>
      <c r="P766" s="24"/>
      <c r="Q766" s="24"/>
    </row>
    <row r="767" spans="1:17" ht="16.2" x14ac:dyDescent="0.35">
      <c r="A767" s="20">
        <v>31338</v>
      </c>
      <c r="B767" s="21">
        <v>12.13</v>
      </c>
      <c r="C767" s="21">
        <v>2.5</v>
      </c>
      <c r="D767" s="21"/>
      <c r="E767" s="21"/>
      <c r="F767" s="21"/>
      <c r="G767" s="21"/>
      <c r="H767" s="21"/>
      <c r="I767" s="21"/>
      <c r="J767" s="24"/>
      <c r="K767" s="24"/>
      <c r="L767" s="24"/>
      <c r="M767" s="24"/>
      <c r="N767" s="24"/>
      <c r="O767" s="24"/>
      <c r="P767" s="24"/>
      <c r="Q767" s="24"/>
    </row>
    <row r="768" spans="1:17" ht="16.2" x14ac:dyDescent="0.35">
      <c r="A768" s="20">
        <v>31345</v>
      </c>
      <c r="B768" s="21">
        <v>12.07</v>
      </c>
      <c r="C768" s="21">
        <v>2.4</v>
      </c>
      <c r="D768" s="21"/>
      <c r="E768" s="21"/>
      <c r="F768" s="21"/>
      <c r="G768" s="21"/>
      <c r="H768" s="21"/>
      <c r="I768" s="21"/>
      <c r="J768" s="24"/>
      <c r="K768" s="24"/>
      <c r="L768" s="24"/>
      <c r="M768" s="24"/>
      <c r="N768" s="24"/>
      <c r="O768" s="24"/>
      <c r="P768" s="24"/>
      <c r="Q768" s="24"/>
    </row>
    <row r="769" spans="1:17" ht="16.2" x14ac:dyDescent="0.35">
      <c r="A769" s="20">
        <v>31352</v>
      </c>
      <c r="B769" s="21">
        <v>12.01</v>
      </c>
      <c r="C769" s="21">
        <v>2.4</v>
      </c>
      <c r="D769" s="21"/>
      <c r="E769" s="21"/>
      <c r="F769" s="21"/>
      <c r="G769" s="21"/>
      <c r="H769" s="21"/>
      <c r="I769" s="21"/>
      <c r="J769" s="24"/>
      <c r="K769" s="24"/>
      <c r="L769" s="24"/>
      <c r="M769" s="24"/>
      <c r="N769" s="24"/>
      <c r="O769" s="24"/>
      <c r="P769" s="24"/>
      <c r="Q769" s="24"/>
    </row>
    <row r="770" spans="1:17" ht="16.2" x14ac:dyDescent="0.35">
      <c r="A770" s="20">
        <v>31359</v>
      </c>
      <c r="B770" s="21">
        <v>11.9</v>
      </c>
      <c r="C770" s="21">
        <v>2.4</v>
      </c>
      <c r="D770" s="21"/>
      <c r="E770" s="21"/>
      <c r="F770" s="21"/>
      <c r="G770" s="21"/>
      <c r="H770" s="21"/>
      <c r="I770" s="21"/>
      <c r="J770" s="24"/>
      <c r="K770" s="24"/>
      <c r="L770" s="24"/>
      <c r="M770" s="24"/>
      <c r="N770" s="24"/>
      <c r="O770" s="24"/>
      <c r="P770" s="24"/>
      <c r="Q770" s="24"/>
    </row>
    <row r="771" spans="1:17" ht="16.2" x14ac:dyDescent="0.35">
      <c r="A771" s="20">
        <v>31366</v>
      </c>
      <c r="B771" s="21">
        <v>11.79</v>
      </c>
      <c r="C771" s="21">
        <v>2.4</v>
      </c>
      <c r="D771" s="21"/>
      <c r="E771" s="21"/>
      <c r="F771" s="21"/>
      <c r="G771" s="21"/>
      <c r="H771" s="21"/>
      <c r="I771" s="21"/>
      <c r="J771" s="24"/>
      <c r="K771" s="24"/>
      <c r="L771" s="24"/>
      <c r="M771" s="24"/>
      <c r="N771" s="24"/>
      <c r="O771" s="24"/>
      <c r="P771" s="24"/>
      <c r="Q771" s="24"/>
    </row>
    <row r="772" spans="1:17" ht="16.2"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ht="16.2"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ht="16.2" x14ac:dyDescent="0.35">
      <c r="A774" s="20">
        <v>31387</v>
      </c>
      <c r="B774" s="21">
        <v>11.5</v>
      </c>
      <c r="C774" s="21">
        <v>2.4</v>
      </c>
      <c r="D774" s="21"/>
      <c r="E774" s="21"/>
      <c r="F774" s="21"/>
      <c r="G774" s="21"/>
      <c r="H774" s="21"/>
      <c r="I774" s="21"/>
      <c r="J774" s="24"/>
      <c r="K774" s="24"/>
      <c r="L774" s="24"/>
      <c r="M774" s="24"/>
      <c r="N774" s="24"/>
      <c r="O774" s="24"/>
      <c r="P774" s="24"/>
      <c r="Q774" s="24"/>
    </row>
    <row r="775" spans="1:17" ht="16.2"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ht="16.2"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ht="16.2"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ht="16.2"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ht="16.2"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ht="16.2" x14ac:dyDescent="0.35">
      <c r="A780" s="20">
        <v>31429</v>
      </c>
      <c r="B780" s="21">
        <v>10.99</v>
      </c>
      <c r="C780" s="21">
        <v>2.4</v>
      </c>
      <c r="D780" s="21"/>
      <c r="E780" s="21"/>
      <c r="F780" s="21"/>
      <c r="G780" s="21"/>
      <c r="H780" s="21"/>
      <c r="I780" s="21"/>
      <c r="J780" s="24"/>
      <c r="K780" s="24"/>
      <c r="L780" s="24"/>
      <c r="M780" s="24"/>
      <c r="N780" s="24"/>
      <c r="O780" s="24"/>
      <c r="P780" s="24"/>
      <c r="Q780" s="24"/>
    </row>
    <row r="781" spans="1:17" ht="16.2"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ht="16.2" x14ac:dyDescent="0.35">
      <c r="A782" s="20">
        <v>31443</v>
      </c>
      <c r="B782" s="21">
        <v>10.89</v>
      </c>
      <c r="C782" s="21">
        <v>2.4</v>
      </c>
      <c r="D782" s="21"/>
      <c r="E782" s="21"/>
      <c r="F782" s="21"/>
      <c r="G782" s="21"/>
      <c r="H782" s="21"/>
      <c r="I782" s="21"/>
      <c r="J782" s="24"/>
      <c r="K782" s="24"/>
      <c r="L782" s="24"/>
      <c r="M782" s="24"/>
      <c r="N782" s="24"/>
      <c r="O782" s="24"/>
      <c r="P782" s="24"/>
      <c r="Q782" s="24"/>
    </row>
    <row r="783" spans="1:17" ht="16.2"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ht="16.2" x14ac:dyDescent="0.35">
      <c r="A784" s="20">
        <v>31457</v>
      </c>
      <c r="B784" s="21">
        <v>10.8</v>
      </c>
      <c r="C784" s="21">
        <v>2.4</v>
      </c>
      <c r="D784" s="21"/>
      <c r="E784" s="21"/>
      <c r="F784" s="21"/>
      <c r="G784" s="21"/>
      <c r="H784" s="21"/>
      <c r="I784" s="21"/>
      <c r="J784" s="24"/>
      <c r="K784" s="24"/>
      <c r="L784" s="24"/>
      <c r="M784" s="24"/>
      <c r="N784" s="24"/>
      <c r="O784" s="24"/>
      <c r="P784" s="24"/>
      <c r="Q784" s="24"/>
    </row>
    <row r="785" spans="1:17" ht="16.2"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ht="16.2"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ht="16.2"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ht="16.2"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ht="16.2"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ht="16.2"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ht="16.2"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ht="16.2"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ht="16.2" x14ac:dyDescent="0.35">
      <c r="A793" s="20">
        <v>31520</v>
      </c>
      <c r="B793" s="21">
        <v>9.92</v>
      </c>
      <c r="C793" s="21">
        <v>2.1</v>
      </c>
      <c r="D793" s="21"/>
      <c r="E793" s="21"/>
      <c r="F793" s="21"/>
      <c r="G793" s="21"/>
      <c r="H793" s="21"/>
      <c r="I793" s="21"/>
      <c r="J793" s="24"/>
      <c r="K793" s="24"/>
      <c r="L793" s="24"/>
      <c r="M793" s="24"/>
      <c r="N793" s="24"/>
      <c r="O793" s="24"/>
      <c r="P793" s="24"/>
      <c r="Q793" s="24"/>
    </row>
    <row r="794" spans="1:17" ht="16.2"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ht="16.2"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ht="16.2"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ht="16.2"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ht="16.2" x14ac:dyDescent="0.35">
      <c r="A798" s="20">
        <v>31555</v>
      </c>
      <c r="B798" s="21">
        <v>10.36</v>
      </c>
      <c r="C798" s="21">
        <v>2.4</v>
      </c>
      <c r="D798" s="21"/>
      <c r="E798" s="21"/>
      <c r="F798" s="21"/>
      <c r="G798" s="21"/>
      <c r="H798" s="21"/>
      <c r="I798" s="21"/>
      <c r="J798" s="24"/>
      <c r="K798" s="24"/>
      <c r="L798" s="24"/>
      <c r="M798" s="24"/>
      <c r="N798" s="24"/>
      <c r="O798" s="24"/>
      <c r="P798" s="24"/>
      <c r="Q798" s="24"/>
    </row>
    <row r="799" spans="1:17" ht="16.2"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ht="16.2"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ht="16.2"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ht="16.2"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ht="16.2"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ht="16.2"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ht="16.2"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ht="16.2"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ht="16.2"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ht="16.2" x14ac:dyDescent="0.35">
      <c r="A808" s="20">
        <v>31625</v>
      </c>
      <c r="B808" s="21">
        <v>10.4</v>
      </c>
      <c r="C808" s="21">
        <v>2.1</v>
      </c>
      <c r="D808" s="21"/>
      <c r="E808" s="21"/>
      <c r="F808" s="21"/>
      <c r="G808" s="21"/>
      <c r="H808" s="21"/>
      <c r="I808" s="21"/>
      <c r="J808" s="24"/>
      <c r="K808" s="24"/>
      <c r="L808" s="24"/>
      <c r="M808" s="24"/>
      <c r="N808" s="24"/>
      <c r="O808" s="24"/>
      <c r="P808" s="24"/>
      <c r="Q808" s="24"/>
    </row>
    <row r="809" spans="1:17" ht="16.2"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ht="16.2" x14ac:dyDescent="0.35">
      <c r="A810" s="20">
        <v>31639</v>
      </c>
      <c r="B810" s="21">
        <v>10.23</v>
      </c>
      <c r="C810" s="21">
        <v>2.1</v>
      </c>
      <c r="D810" s="21"/>
      <c r="E810" s="21"/>
      <c r="F810" s="21"/>
      <c r="G810" s="21"/>
      <c r="H810" s="21"/>
      <c r="I810" s="21"/>
      <c r="J810" s="24"/>
      <c r="K810" s="24"/>
      <c r="L810" s="24"/>
      <c r="M810" s="24"/>
      <c r="N810" s="24"/>
      <c r="O810" s="24"/>
      <c r="P810" s="24"/>
      <c r="Q810" s="24"/>
    </row>
    <row r="811" spans="1:17" ht="16.2"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ht="16.2" x14ac:dyDescent="0.35">
      <c r="A812" s="20">
        <v>31653</v>
      </c>
      <c r="B812" s="21">
        <v>9.93</v>
      </c>
      <c r="C812" s="21">
        <v>2.1</v>
      </c>
      <c r="D812" s="21"/>
      <c r="E812" s="21"/>
      <c r="F812" s="21"/>
      <c r="G812" s="21"/>
      <c r="H812" s="21"/>
      <c r="I812" s="21"/>
      <c r="J812" s="24"/>
      <c r="K812" s="24"/>
      <c r="L812" s="24"/>
      <c r="M812" s="24"/>
      <c r="N812" s="24"/>
      <c r="O812" s="24"/>
      <c r="P812" s="24"/>
      <c r="Q812" s="24"/>
    </row>
    <row r="813" spans="1:17" ht="16.2"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ht="16.2"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ht="16.2" x14ac:dyDescent="0.35">
      <c r="A815" s="20">
        <v>31674</v>
      </c>
      <c r="B815" s="21">
        <v>10.07</v>
      </c>
      <c r="C815" s="21">
        <v>2.1</v>
      </c>
      <c r="D815" s="21"/>
      <c r="E815" s="21"/>
      <c r="F815" s="21"/>
      <c r="G815" s="21"/>
      <c r="H815" s="21"/>
      <c r="I815" s="21"/>
      <c r="J815" s="24"/>
      <c r="K815" s="24"/>
      <c r="L815" s="24"/>
      <c r="M815" s="24"/>
      <c r="N815" s="24"/>
      <c r="O815" s="24"/>
      <c r="P815" s="24"/>
      <c r="Q815" s="24"/>
    </row>
    <row r="816" spans="1:17" ht="16.2"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ht="16.2" x14ac:dyDescent="0.35">
      <c r="A817" s="20">
        <v>31688</v>
      </c>
      <c r="B817" s="21">
        <v>10.08</v>
      </c>
      <c r="C817" s="21">
        <v>2.1</v>
      </c>
      <c r="D817" s="21"/>
      <c r="E817" s="21"/>
      <c r="F817" s="21"/>
      <c r="G817" s="21"/>
      <c r="H817" s="21"/>
      <c r="I817" s="21"/>
      <c r="J817" s="24"/>
      <c r="K817" s="24"/>
      <c r="L817" s="24"/>
      <c r="M817" s="24"/>
      <c r="N817" s="24"/>
      <c r="O817" s="24"/>
      <c r="P817" s="24"/>
      <c r="Q817" s="24"/>
    </row>
    <row r="818" spans="1:17" ht="16.2" x14ac:dyDescent="0.35">
      <c r="A818" s="20">
        <v>31695</v>
      </c>
      <c r="B818" s="21">
        <v>9.99</v>
      </c>
      <c r="C818" s="21">
        <v>2.1</v>
      </c>
      <c r="D818" s="21"/>
      <c r="E818" s="21"/>
      <c r="F818" s="21"/>
      <c r="G818" s="21"/>
      <c r="H818" s="21"/>
      <c r="I818" s="21"/>
      <c r="J818" s="24"/>
      <c r="K818" s="24"/>
      <c r="L818" s="24"/>
      <c r="M818" s="24"/>
      <c r="N818" s="24"/>
      <c r="O818" s="24"/>
      <c r="P818" s="24"/>
      <c r="Q818" s="24"/>
    </row>
    <row r="819" spans="1:17" ht="16.2"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ht="16.2"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ht="16.2" x14ac:dyDescent="0.35">
      <c r="A821" s="20">
        <v>31716</v>
      </c>
      <c r="B821" s="21">
        <v>9.89</v>
      </c>
      <c r="C821" s="21">
        <v>2.1</v>
      </c>
      <c r="D821" s="21"/>
      <c r="E821" s="21"/>
      <c r="F821" s="21"/>
      <c r="G821" s="21"/>
      <c r="H821" s="21"/>
      <c r="I821" s="21"/>
      <c r="J821" s="24"/>
      <c r="K821" s="24"/>
      <c r="L821" s="24"/>
      <c r="M821" s="24"/>
      <c r="N821" s="24"/>
      <c r="O821" s="24"/>
      <c r="P821" s="24"/>
      <c r="Q821" s="24"/>
    </row>
    <row r="822" spans="1:17" ht="16.2" x14ac:dyDescent="0.35">
      <c r="A822" s="20">
        <v>31723</v>
      </c>
      <c r="B822" s="21">
        <v>9.83</v>
      </c>
      <c r="C822" s="21">
        <v>2.1</v>
      </c>
      <c r="D822" s="21"/>
      <c r="E822" s="21"/>
      <c r="F822" s="21"/>
      <c r="G822" s="21"/>
      <c r="H822" s="21"/>
      <c r="I822" s="21"/>
      <c r="J822" s="24"/>
      <c r="K822" s="24"/>
      <c r="L822" s="24"/>
      <c r="M822" s="24"/>
      <c r="N822" s="24"/>
      <c r="O822" s="24"/>
      <c r="P822" s="24"/>
      <c r="Q822" s="24"/>
    </row>
    <row r="823" spans="1:17" ht="16.2" x14ac:dyDescent="0.35">
      <c r="A823" s="20">
        <v>31730</v>
      </c>
      <c r="B823" s="21">
        <v>9.81</v>
      </c>
      <c r="C823" s="21">
        <v>2</v>
      </c>
      <c r="D823" s="21"/>
      <c r="E823" s="21"/>
      <c r="F823" s="21"/>
      <c r="G823" s="21"/>
      <c r="H823" s="21"/>
      <c r="I823" s="21"/>
      <c r="J823" s="24"/>
      <c r="K823" s="24"/>
      <c r="L823" s="24"/>
      <c r="M823" s="24"/>
      <c r="N823" s="24"/>
      <c r="O823" s="24"/>
      <c r="P823" s="24"/>
      <c r="Q823" s="24"/>
    </row>
    <row r="824" spans="1:17" ht="16.2" x14ac:dyDescent="0.35">
      <c r="A824" s="20">
        <v>31737</v>
      </c>
      <c r="B824" s="21">
        <v>9.64</v>
      </c>
      <c r="C824" s="21">
        <v>2</v>
      </c>
      <c r="D824" s="21"/>
      <c r="E824" s="21"/>
      <c r="F824" s="21"/>
      <c r="G824" s="21"/>
      <c r="H824" s="21"/>
      <c r="I824" s="21"/>
      <c r="J824" s="24"/>
      <c r="K824" s="24"/>
      <c r="L824" s="24"/>
      <c r="M824" s="24"/>
      <c r="N824" s="24"/>
      <c r="O824" s="24"/>
      <c r="P824" s="24"/>
      <c r="Q824" s="24"/>
    </row>
    <row r="825" spans="1:17" ht="16.2" x14ac:dyDescent="0.35">
      <c r="A825" s="20">
        <v>31744</v>
      </c>
      <c r="B825" s="21">
        <v>9.5</v>
      </c>
      <c r="C825" s="21">
        <v>2</v>
      </c>
      <c r="D825" s="21"/>
      <c r="E825" s="21"/>
      <c r="F825" s="21"/>
      <c r="G825" s="21"/>
      <c r="H825" s="21"/>
      <c r="I825" s="21"/>
      <c r="J825" s="24"/>
      <c r="K825" s="24"/>
      <c r="L825" s="24"/>
      <c r="M825" s="24"/>
      <c r="N825" s="24"/>
      <c r="O825" s="24"/>
      <c r="P825" s="24"/>
      <c r="Q825" s="24"/>
    </row>
    <row r="826" spans="1:17" ht="16.2"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ht="16.2" x14ac:dyDescent="0.35">
      <c r="A827" s="20">
        <v>31758</v>
      </c>
      <c r="B827" s="21">
        <v>9.35</v>
      </c>
      <c r="C827" s="21">
        <v>2.1</v>
      </c>
      <c r="D827" s="21"/>
      <c r="E827" s="21"/>
      <c r="F827" s="21"/>
      <c r="G827" s="21"/>
      <c r="H827" s="21"/>
      <c r="I827" s="21"/>
      <c r="J827" s="24"/>
      <c r="K827" s="24"/>
      <c r="L827" s="24"/>
      <c r="M827" s="24"/>
      <c r="N827" s="24"/>
      <c r="O827" s="24"/>
      <c r="P827" s="24"/>
      <c r="Q827" s="24"/>
    </row>
    <row r="828" spans="1:17" ht="16.2"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ht="16.2"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ht="16.2"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ht="16.2"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ht="16.2"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ht="16.2"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ht="16.2"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ht="16.2" x14ac:dyDescent="0.35">
      <c r="A835" s="20">
        <v>31814</v>
      </c>
      <c r="B835" s="21">
        <v>9.06</v>
      </c>
      <c r="C835" s="21">
        <v>2.1</v>
      </c>
      <c r="D835" s="21"/>
      <c r="E835" s="21"/>
      <c r="F835" s="21"/>
      <c r="G835" s="21"/>
      <c r="H835" s="21"/>
      <c r="I835" s="21"/>
      <c r="J835" s="24"/>
      <c r="K835" s="24"/>
      <c r="L835" s="24"/>
      <c r="M835" s="24"/>
      <c r="N835" s="24"/>
      <c r="O835" s="24"/>
      <c r="P835" s="24"/>
      <c r="Q835" s="24"/>
    </row>
    <row r="836" spans="1:17" ht="16.2" x14ac:dyDescent="0.35">
      <c r="A836" s="20">
        <v>31821</v>
      </c>
      <c r="B836" s="21">
        <v>9.09</v>
      </c>
      <c r="C836" s="21">
        <v>2.1</v>
      </c>
      <c r="D836" s="21"/>
      <c r="E836" s="21"/>
      <c r="F836" s="21"/>
      <c r="G836" s="21"/>
      <c r="H836" s="21"/>
      <c r="I836" s="21"/>
      <c r="J836" s="24"/>
      <c r="K836" s="24"/>
      <c r="L836" s="24"/>
      <c r="M836" s="24"/>
      <c r="N836" s="24"/>
      <c r="O836" s="24"/>
      <c r="P836" s="24"/>
      <c r="Q836" s="24"/>
    </row>
    <row r="837" spans="1:17" ht="16.2" x14ac:dyDescent="0.35">
      <c r="A837" s="20">
        <v>31828</v>
      </c>
      <c r="B837" s="21">
        <v>9.11</v>
      </c>
      <c r="C837" s="21">
        <v>2.1</v>
      </c>
      <c r="D837" s="21"/>
      <c r="E837" s="21"/>
      <c r="F837" s="21"/>
      <c r="G837" s="21"/>
      <c r="H837" s="21"/>
      <c r="I837" s="21"/>
      <c r="J837" s="24"/>
      <c r="K837" s="24"/>
      <c r="L837" s="24"/>
      <c r="M837" s="24"/>
      <c r="N837" s="24"/>
      <c r="O837" s="24"/>
      <c r="P837" s="24"/>
      <c r="Q837" s="24"/>
    </row>
    <row r="838" spans="1:17" ht="16.2" x14ac:dyDescent="0.35">
      <c r="A838" s="20">
        <v>31835</v>
      </c>
      <c r="B838" s="21">
        <v>9.07</v>
      </c>
      <c r="C838" s="21">
        <v>2.1</v>
      </c>
      <c r="D838" s="21"/>
      <c r="E838" s="21"/>
      <c r="F838" s="21"/>
      <c r="G838" s="21"/>
      <c r="H838" s="21"/>
      <c r="I838" s="21"/>
      <c r="J838" s="24"/>
      <c r="K838" s="24"/>
      <c r="L838" s="24"/>
      <c r="M838" s="24"/>
      <c r="N838" s="24"/>
      <c r="O838" s="24"/>
      <c r="P838" s="24"/>
      <c r="Q838" s="24"/>
    </row>
    <row r="839" spans="1:17" ht="16.2"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ht="16.2"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ht="16.2"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ht="16.2"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ht="16.2"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ht="16.2"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ht="16.2"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ht="16.2"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ht="16.2"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ht="16.2"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ht="16.2"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ht="16.2"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ht="16.2"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ht="16.2"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ht="16.2"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ht="16.2"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ht="16.2"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ht="16.2"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ht="16.2"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ht="16.2"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ht="16.2" x14ac:dyDescent="0.35">
      <c r="A859" s="20">
        <v>31982</v>
      </c>
      <c r="B859" s="21">
        <v>10.23</v>
      </c>
      <c r="C859" s="21">
        <v>2.1</v>
      </c>
      <c r="D859" s="21"/>
      <c r="E859" s="21"/>
      <c r="F859" s="21"/>
      <c r="G859" s="21"/>
      <c r="H859" s="21"/>
      <c r="I859" s="21"/>
      <c r="J859" s="24"/>
      <c r="K859" s="24"/>
      <c r="L859" s="24"/>
      <c r="M859" s="24"/>
      <c r="N859" s="24"/>
      <c r="O859" s="24"/>
      <c r="P859" s="24"/>
      <c r="Q859" s="24"/>
    </row>
    <row r="860" spans="1:17" ht="16.2"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ht="16.2" x14ac:dyDescent="0.35">
      <c r="A861" s="20">
        <v>31996</v>
      </c>
      <c r="B861" s="21">
        <v>10.35</v>
      </c>
      <c r="C861" s="21">
        <v>2</v>
      </c>
      <c r="D861" s="21"/>
      <c r="E861" s="21"/>
      <c r="F861" s="21"/>
      <c r="G861" s="21"/>
      <c r="H861" s="21"/>
      <c r="I861" s="21"/>
      <c r="J861" s="24"/>
      <c r="K861" s="24"/>
      <c r="L861" s="24"/>
      <c r="M861" s="24"/>
      <c r="N861" s="24"/>
      <c r="O861" s="24"/>
      <c r="P861" s="24"/>
      <c r="Q861" s="24"/>
    </row>
    <row r="862" spans="1:17" ht="16.2" x14ac:dyDescent="0.35">
      <c r="A862" s="20">
        <v>32003</v>
      </c>
      <c r="B862" s="21">
        <v>10.34</v>
      </c>
      <c r="C862" s="21">
        <v>2</v>
      </c>
      <c r="D862" s="21"/>
      <c r="E862" s="21"/>
      <c r="F862" s="21"/>
      <c r="G862" s="21"/>
      <c r="H862" s="21"/>
      <c r="I862" s="21"/>
      <c r="J862" s="24"/>
      <c r="K862" s="24"/>
      <c r="L862" s="24"/>
      <c r="M862" s="24"/>
      <c r="N862" s="24"/>
      <c r="O862" s="24"/>
      <c r="P862" s="24"/>
      <c r="Q862" s="24"/>
    </row>
    <row r="863" spans="1:17" ht="16.2"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ht="16.2" x14ac:dyDescent="0.35">
      <c r="A864" s="20">
        <v>32017</v>
      </c>
      <c r="B864" s="21">
        <v>10.33</v>
      </c>
      <c r="C864" s="21">
        <v>2.1</v>
      </c>
      <c r="D864" s="21"/>
      <c r="E864" s="21"/>
      <c r="F864" s="21"/>
      <c r="G864" s="21"/>
      <c r="H864" s="21"/>
      <c r="I864" s="21"/>
      <c r="J864" s="24"/>
      <c r="K864" s="24"/>
      <c r="L864" s="24"/>
      <c r="M864" s="24"/>
      <c r="N864" s="24"/>
      <c r="O864" s="24"/>
      <c r="P864" s="24"/>
      <c r="Q864" s="24"/>
    </row>
    <row r="865" spans="1:17" ht="16.2"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ht="16.2"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ht="16.2"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ht="16.2"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ht="16.2"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ht="16.2"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ht="16.2"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ht="16.2"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ht="16.2"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ht="16.2" x14ac:dyDescent="0.35">
      <c r="A874" s="20">
        <v>32087</v>
      </c>
      <c r="B874" s="21">
        <v>10.79</v>
      </c>
      <c r="C874" s="21">
        <v>2.1</v>
      </c>
      <c r="D874" s="21"/>
      <c r="E874" s="21"/>
      <c r="F874" s="21"/>
      <c r="G874" s="21"/>
      <c r="H874" s="21"/>
      <c r="I874" s="21"/>
      <c r="J874" s="24"/>
      <c r="K874" s="24"/>
      <c r="L874" s="24"/>
      <c r="M874" s="24"/>
      <c r="N874" s="24"/>
      <c r="O874" s="24"/>
      <c r="P874" s="24"/>
      <c r="Q874" s="24"/>
    </row>
    <row r="875" spans="1:17" ht="16.2" x14ac:dyDescent="0.35">
      <c r="A875" s="20">
        <v>32094</v>
      </c>
      <c r="B875" s="21">
        <v>10.66</v>
      </c>
      <c r="C875" s="21">
        <v>2.1</v>
      </c>
      <c r="D875" s="21"/>
      <c r="E875" s="21"/>
      <c r="F875" s="21"/>
      <c r="G875" s="21"/>
      <c r="H875" s="21"/>
      <c r="I875" s="21"/>
      <c r="J875" s="24"/>
      <c r="K875" s="24"/>
      <c r="L875" s="24"/>
      <c r="M875" s="24"/>
      <c r="N875" s="24"/>
      <c r="O875" s="24"/>
      <c r="P875" s="24"/>
      <c r="Q875" s="24"/>
    </row>
    <row r="876" spans="1:17" ht="16.2" x14ac:dyDescent="0.35">
      <c r="A876" s="20">
        <v>32101</v>
      </c>
      <c r="B876" s="21">
        <v>10.6</v>
      </c>
      <c r="C876" s="21">
        <v>2</v>
      </c>
      <c r="D876" s="21"/>
      <c r="E876" s="21"/>
      <c r="F876" s="21"/>
      <c r="G876" s="21"/>
      <c r="H876" s="21"/>
      <c r="I876" s="21"/>
      <c r="J876" s="24"/>
      <c r="K876" s="24"/>
      <c r="L876" s="24"/>
      <c r="M876" s="24"/>
      <c r="N876" s="24"/>
      <c r="O876" s="24"/>
      <c r="P876" s="24"/>
      <c r="Q876" s="24"/>
    </row>
    <row r="877" spans="1:17" ht="16.2" x14ac:dyDescent="0.35">
      <c r="A877" s="20">
        <v>32108</v>
      </c>
      <c r="B877" s="21">
        <v>10.55</v>
      </c>
      <c r="C877" s="21">
        <v>2</v>
      </c>
      <c r="D877" s="21"/>
      <c r="E877" s="21"/>
      <c r="F877" s="21"/>
      <c r="G877" s="21"/>
      <c r="H877" s="21"/>
      <c r="I877" s="21"/>
      <c r="J877" s="24"/>
      <c r="K877" s="24"/>
      <c r="L877" s="24"/>
      <c r="M877" s="24"/>
      <c r="N877" s="24"/>
      <c r="O877" s="24"/>
      <c r="P877" s="24"/>
      <c r="Q877" s="24"/>
    </row>
    <row r="878" spans="1:17" ht="16.2" x14ac:dyDescent="0.35">
      <c r="A878" s="20">
        <v>32115</v>
      </c>
      <c r="B878" s="21">
        <v>10.6</v>
      </c>
      <c r="C878" s="21">
        <v>2.1</v>
      </c>
      <c r="D878" s="21"/>
      <c r="E878" s="21"/>
      <c r="F878" s="21"/>
      <c r="G878" s="21"/>
      <c r="H878" s="21"/>
      <c r="I878" s="21"/>
      <c r="J878" s="24"/>
      <c r="K878" s="24"/>
      <c r="L878" s="24"/>
      <c r="M878" s="24"/>
      <c r="N878" s="24"/>
      <c r="O878" s="24"/>
      <c r="P878" s="24"/>
      <c r="Q878" s="24"/>
    </row>
    <row r="879" spans="1:17" ht="16.2"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ht="16.2"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ht="16.2"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ht="16.2" x14ac:dyDescent="0.35">
      <c r="A882" s="20">
        <v>32142</v>
      </c>
      <c r="B882" s="21">
        <v>10.61</v>
      </c>
      <c r="C882" s="21">
        <v>2</v>
      </c>
      <c r="D882" s="21"/>
      <c r="E882" s="21"/>
      <c r="F882" s="21"/>
      <c r="G882" s="21"/>
      <c r="H882" s="21"/>
      <c r="I882" s="21"/>
      <c r="J882" s="24"/>
      <c r="K882" s="24"/>
      <c r="L882" s="24"/>
      <c r="M882" s="24"/>
      <c r="N882" s="24"/>
      <c r="O882" s="24"/>
      <c r="P882" s="24"/>
      <c r="Q882" s="24"/>
    </row>
    <row r="883" spans="1:17" ht="16.2" x14ac:dyDescent="0.35">
      <c r="A883" s="20">
        <v>32150</v>
      </c>
      <c r="B883" s="21">
        <v>10.5</v>
      </c>
      <c r="C883" s="21">
        <v>2</v>
      </c>
      <c r="D883" s="21"/>
      <c r="E883" s="21"/>
      <c r="F883" s="21"/>
      <c r="G883" s="21"/>
      <c r="H883" s="21"/>
      <c r="I883" s="21"/>
      <c r="J883" s="24"/>
      <c r="K883" s="24"/>
      <c r="L883" s="24"/>
      <c r="M883" s="24"/>
      <c r="N883" s="24"/>
      <c r="O883" s="24"/>
      <c r="P883" s="24"/>
      <c r="Q883" s="24"/>
    </row>
    <row r="884" spans="1:17" ht="16.2" x14ac:dyDescent="0.35">
      <c r="A884" s="20">
        <v>32157</v>
      </c>
      <c r="B884" s="21">
        <v>10.53</v>
      </c>
      <c r="C884" s="21">
        <v>2</v>
      </c>
      <c r="D884" s="21"/>
      <c r="E884" s="21"/>
      <c r="F884" s="21"/>
      <c r="G884" s="21"/>
      <c r="H884" s="21"/>
      <c r="I884" s="21"/>
      <c r="J884" s="24"/>
      <c r="K884" s="24"/>
      <c r="L884" s="24"/>
      <c r="M884" s="24"/>
      <c r="N884" s="24"/>
      <c r="O884" s="24"/>
      <c r="P884" s="24"/>
      <c r="Q884" s="24"/>
    </row>
    <row r="885" spans="1:17" ht="16.2" x14ac:dyDescent="0.35">
      <c r="A885" s="20">
        <v>32164</v>
      </c>
      <c r="B885" s="21">
        <v>10.34</v>
      </c>
      <c r="C885" s="21">
        <v>2</v>
      </c>
      <c r="D885" s="21"/>
      <c r="E885" s="21"/>
      <c r="F885" s="21"/>
      <c r="G885" s="21"/>
      <c r="H885" s="21"/>
      <c r="I885" s="21"/>
      <c r="J885" s="24"/>
      <c r="K885" s="24"/>
      <c r="L885" s="24"/>
      <c r="M885" s="24"/>
      <c r="N885" s="24"/>
      <c r="O885" s="24"/>
      <c r="P885" s="24"/>
      <c r="Q885" s="24"/>
    </row>
    <row r="886" spans="1:17" ht="16.2" x14ac:dyDescent="0.35">
      <c r="A886" s="20">
        <v>32171</v>
      </c>
      <c r="B886" s="21">
        <v>10.16</v>
      </c>
      <c r="C886" s="21">
        <v>2</v>
      </c>
      <c r="D886" s="21"/>
      <c r="E886" s="21"/>
      <c r="F886" s="21"/>
      <c r="G886" s="21"/>
      <c r="H886" s="21"/>
      <c r="I886" s="21"/>
      <c r="J886" s="24"/>
      <c r="K886" s="24"/>
      <c r="L886" s="24"/>
      <c r="M886" s="24"/>
      <c r="N886" s="24"/>
      <c r="O886" s="24"/>
      <c r="P886" s="24"/>
      <c r="Q886" s="24"/>
    </row>
    <row r="887" spans="1:17" ht="16.2" x14ac:dyDescent="0.35">
      <c r="A887" s="20">
        <v>32178</v>
      </c>
      <c r="B887" s="21">
        <v>9.94</v>
      </c>
      <c r="C887" s="21">
        <v>2</v>
      </c>
      <c r="D887" s="21"/>
      <c r="E887" s="21"/>
      <c r="F887" s="21"/>
      <c r="G887" s="21"/>
      <c r="H887" s="21"/>
      <c r="I887" s="21"/>
      <c r="J887" s="24"/>
      <c r="K887" s="24"/>
      <c r="L887" s="24"/>
      <c r="M887" s="24"/>
      <c r="N887" s="24"/>
      <c r="O887" s="24"/>
      <c r="P887" s="24"/>
      <c r="Q887" s="24"/>
    </row>
    <row r="888" spans="1:17" ht="16.2" x14ac:dyDescent="0.35">
      <c r="A888" s="20">
        <v>32185</v>
      </c>
      <c r="B888" s="21">
        <v>9.84</v>
      </c>
      <c r="C888" s="21">
        <v>2.1</v>
      </c>
      <c r="D888" s="21"/>
      <c r="E888" s="21"/>
      <c r="F888" s="21"/>
      <c r="G888" s="21"/>
      <c r="H888" s="21"/>
      <c r="I888" s="21"/>
      <c r="J888" s="24"/>
      <c r="K888" s="24"/>
      <c r="L888" s="24"/>
      <c r="M888" s="24"/>
      <c r="N888" s="24"/>
      <c r="O888" s="24"/>
      <c r="P888" s="24"/>
      <c r="Q888" s="24"/>
    </row>
    <row r="889" spans="1:17" ht="16.2" x14ac:dyDescent="0.35">
      <c r="A889" s="20">
        <v>32192</v>
      </c>
      <c r="B889" s="21">
        <v>9.92</v>
      </c>
      <c r="C889" s="21">
        <v>2.1</v>
      </c>
      <c r="D889" s="21"/>
      <c r="E889" s="21"/>
      <c r="F889" s="21"/>
      <c r="G889" s="21"/>
      <c r="H889" s="21"/>
      <c r="I889" s="21"/>
      <c r="J889" s="24"/>
      <c r="K889" s="24"/>
      <c r="L889" s="24"/>
      <c r="M889" s="24"/>
      <c r="N889" s="24"/>
      <c r="O889" s="24"/>
      <c r="P889" s="24"/>
      <c r="Q889" s="24"/>
    </row>
    <row r="890" spans="1:17" ht="16.2"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ht="16.2" x14ac:dyDescent="0.35">
      <c r="A891" s="20">
        <v>32206</v>
      </c>
      <c r="B891" s="21">
        <v>9.85</v>
      </c>
      <c r="C891" s="21">
        <v>2</v>
      </c>
      <c r="D891" s="21"/>
      <c r="E891" s="21"/>
      <c r="F891" s="21"/>
      <c r="G891" s="21"/>
      <c r="H891" s="21"/>
      <c r="I891" s="21"/>
      <c r="J891" s="24"/>
      <c r="K891" s="24"/>
      <c r="L891" s="24"/>
      <c r="M891" s="24"/>
      <c r="N891" s="24"/>
      <c r="O891" s="24"/>
      <c r="P891" s="24"/>
      <c r="Q891" s="24"/>
    </row>
    <row r="892" spans="1:17" ht="16.2"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ht="16.2" x14ac:dyDescent="0.35">
      <c r="A893" s="20">
        <v>32220</v>
      </c>
      <c r="B893" s="21">
        <v>9.92</v>
      </c>
      <c r="C893" s="21">
        <v>2</v>
      </c>
      <c r="D893" s="21"/>
      <c r="E893" s="21"/>
      <c r="F893" s="21"/>
      <c r="G893" s="21"/>
      <c r="H893" s="21"/>
      <c r="I893" s="21"/>
      <c r="J893" s="24"/>
      <c r="K893" s="24"/>
      <c r="L893" s="24"/>
      <c r="M893" s="24"/>
      <c r="N893" s="24"/>
      <c r="O893" s="24"/>
      <c r="P893" s="24"/>
      <c r="Q893" s="24"/>
    </row>
    <row r="894" spans="1:17" ht="16.2" x14ac:dyDescent="0.35">
      <c r="A894" s="20">
        <v>32227</v>
      </c>
      <c r="B894" s="21">
        <v>9.99</v>
      </c>
      <c r="C894" s="21">
        <v>2.1</v>
      </c>
      <c r="D894" s="21"/>
      <c r="E894" s="21"/>
      <c r="F894" s="21"/>
      <c r="G894" s="21"/>
      <c r="H894" s="21"/>
      <c r="I894" s="21"/>
      <c r="J894" s="24"/>
      <c r="K894" s="24"/>
      <c r="L894" s="24"/>
      <c r="M894" s="24"/>
      <c r="N894" s="24"/>
      <c r="O894" s="24"/>
      <c r="P894" s="24"/>
      <c r="Q894" s="24"/>
    </row>
    <row r="895" spans="1:17" ht="16.2"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ht="16.2"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ht="16.2" x14ac:dyDescent="0.35">
      <c r="A897" s="20">
        <v>32248</v>
      </c>
      <c r="B897" s="21">
        <v>10.19</v>
      </c>
      <c r="C897" s="21">
        <v>2.1</v>
      </c>
      <c r="D897" s="21"/>
      <c r="E897" s="21"/>
      <c r="F897" s="21"/>
      <c r="G897" s="21"/>
      <c r="H897" s="21"/>
      <c r="I897" s="21"/>
      <c r="J897" s="24"/>
      <c r="K897" s="24"/>
      <c r="L897" s="24"/>
      <c r="M897" s="24"/>
      <c r="N897" s="24"/>
      <c r="O897" s="24"/>
      <c r="P897" s="24"/>
      <c r="Q897" s="24"/>
    </row>
    <row r="898" spans="1:17" ht="16.2"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ht="16.2" x14ac:dyDescent="0.35">
      <c r="A899" s="20">
        <v>32262</v>
      </c>
      <c r="B899" s="21">
        <v>10.28</v>
      </c>
      <c r="C899" s="21">
        <v>2.1</v>
      </c>
      <c r="D899" s="21"/>
      <c r="E899" s="21"/>
      <c r="F899" s="21"/>
      <c r="G899" s="21"/>
      <c r="H899" s="21"/>
      <c r="I899" s="21"/>
      <c r="J899" s="24"/>
      <c r="K899" s="24"/>
      <c r="L899" s="24"/>
      <c r="M899" s="24"/>
      <c r="N899" s="24"/>
      <c r="O899" s="24"/>
      <c r="P899" s="24"/>
      <c r="Q899" s="24"/>
    </row>
    <row r="900" spans="1:17" ht="16.2"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ht="16.2" x14ac:dyDescent="0.35">
      <c r="A901" s="20">
        <v>32276</v>
      </c>
      <c r="B901" s="21">
        <v>10.4</v>
      </c>
      <c r="C901" s="21">
        <v>2.1</v>
      </c>
      <c r="D901" s="21"/>
      <c r="E901" s="21"/>
      <c r="F901" s="21"/>
      <c r="G901" s="21"/>
      <c r="H901" s="21"/>
      <c r="I901" s="21"/>
      <c r="J901" s="24"/>
      <c r="K901" s="24"/>
      <c r="L901" s="24"/>
      <c r="M901" s="24"/>
      <c r="N901" s="24"/>
      <c r="O901" s="24"/>
      <c r="P901" s="24"/>
      <c r="Q901" s="24"/>
    </row>
    <row r="902" spans="1:17" ht="16.2" x14ac:dyDescent="0.35">
      <c r="A902" s="20">
        <v>32283</v>
      </c>
      <c r="B902" s="21">
        <v>10.52</v>
      </c>
      <c r="C902" s="21">
        <v>2.1</v>
      </c>
      <c r="D902" s="21"/>
      <c r="E902" s="21"/>
      <c r="F902" s="21"/>
      <c r="G902" s="21"/>
      <c r="H902" s="21"/>
      <c r="I902" s="21"/>
      <c r="J902" s="24"/>
      <c r="K902" s="24"/>
      <c r="L902" s="24"/>
      <c r="M902" s="24"/>
      <c r="N902" s="24"/>
      <c r="O902" s="24"/>
      <c r="P902" s="24"/>
      <c r="Q902" s="24"/>
    </row>
    <row r="903" spans="1:17" ht="16.2" x14ac:dyDescent="0.35">
      <c r="A903" s="20">
        <v>32290</v>
      </c>
      <c r="B903" s="21">
        <v>10.58</v>
      </c>
      <c r="C903" s="21">
        <v>2.1</v>
      </c>
      <c r="D903" s="21"/>
      <c r="E903" s="21"/>
      <c r="F903" s="21"/>
      <c r="G903" s="21"/>
      <c r="H903" s="21"/>
      <c r="I903" s="21"/>
      <c r="J903" s="24"/>
      <c r="K903" s="24"/>
      <c r="L903" s="24"/>
      <c r="M903" s="24"/>
      <c r="N903" s="24"/>
      <c r="O903" s="24"/>
      <c r="P903" s="24"/>
      <c r="Q903" s="24"/>
    </row>
    <row r="904" spans="1:17" ht="16.2" x14ac:dyDescent="0.35">
      <c r="A904" s="20">
        <v>32297</v>
      </c>
      <c r="B904" s="21">
        <v>10.58</v>
      </c>
      <c r="C904" s="21">
        <v>2.1</v>
      </c>
      <c r="D904" s="21"/>
      <c r="E904" s="21"/>
      <c r="F904" s="21"/>
      <c r="G904" s="21"/>
      <c r="H904" s="21"/>
      <c r="I904" s="21"/>
      <c r="J904" s="24"/>
      <c r="K904" s="24"/>
      <c r="L904" s="24"/>
      <c r="M904" s="24"/>
      <c r="N904" s="24"/>
      <c r="O904" s="24"/>
      <c r="P904" s="24"/>
      <c r="Q904" s="24"/>
    </row>
    <row r="905" spans="1:17" ht="16.2" x14ac:dyDescent="0.35">
      <c r="A905" s="20">
        <v>32304</v>
      </c>
      <c r="B905" s="21">
        <v>10.51</v>
      </c>
      <c r="C905" s="21">
        <v>2</v>
      </c>
      <c r="D905" s="21"/>
      <c r="E905" s="21"/>
      <c r="F905" s="21"/>
      <c r="G905" s="21"/>
      <c r="H905" s="21"/>
      <c r="I905" s="21"/>
      <c r="J905" s="24"/>
      <c r="K905" s="24"/>
      <c r="L905" s="24"/>
      <c r="M905" s="24"/>
      <c r="N905" s="24"/>
      <c r="O905" s="24"/>
      <c r="P905" s="24"/>
      <c r="Q905" s="24"/>
    </row>
    <row r="906" spans="1:17" ht="16.2" x14ac:dyDescent="0.35">
      <c r="A906" s="20">
        <v>32311</v>
      </c>
      <c r="B906" s="21">
        <v>10.35</v>
      </c>
      <c r="C906" s="21">
        <v>2</v>
      </c>
      <c r="D906" s="21"/>
      <c r="E906" s="21"/>
      <c r="F906" s="21"/>
      <c r="G906" s="21"/>
      <c r="H906" s="21"/>
      <c r="I906" s="21"/>
      <c r="J906" s="24"/>
      <c r="K906" s="24"/>
      <c r="L906" s="24"/>
      <c r="M906" s="24"/>
      <c r="N906" s="24"/>
      <c r="O906" s="24"/>
      <c r="P906" s="24"/>
      <c r="Q906" s="24"/>
    </row>
    <row r="907" spans="1:17" ht="16.2" x14ac:dyDescent="0.35">
      <c r="A907" s="20">
        <v>32318</v>
      </c>
      <c r="B907" s="21">
        <v>10.4</v>
      </c>
      <c r="C907" s="21">
        <v>2</v>
      </c>
      <c r="D907" s="21"/>
      <c r="E907" s="21"/>
      <c r="F907" s="21"/>
      <c r="G907" s="21"/>
      <c r="H907" s="21"/>
      <c r="I907" s="21"/>
      <c r="J907" s="24"/>
      <c r="K907" s="24"/>
      <c r="L907" s="24"/>
      <c r="M907" s="24"/>
      <c r="N907" s="24"/>
      <c r="O907" s="24"/>
      <c r="P907" s="24"/>
      <c r="Q907" s="24"/>
    </row>
    <row r="908" spans="1:17" ht="16.2" x14ac:dyDescent="0.35">
      <c r="A908" s="20">
        <v>32325</v>
      </c>
      <c r="B908" s="21">
        <v>10.39</v>
      </c>
      <c r="C908" s="21">
        <v>2</v>
      </c>
      <c r="D908" s="21"/>
      <c r="E908" s="21"/>
      <c r="F908" s="21"/>
      <c r="G908" s="21"/>
      <c r="H908" s="21"/>
      <c r="I908" s="21"/>
      <c r="J908" s="24"/>
      <c r="K908" s="24"/>
      <c r="L908" s="24"/>
      <c r="M908" s="24"/>
      <c r="N908" s="24"/>
      <c r="O908" s="24"/>
      <c r="P908" s="24"/>
      <c r="Q908" s="24"/>
    </row>
    <row r="909" spans="1:17" ht="16.2" x14ac:dyDescent="0.35">
      <c r="A909" s="20">
        <v>32332</v>
      </c>
      <c r="B909" s="21">
        <v>10.38</v>
      </c>
      <c r="C909" s="21">
        <v>2</v>
      </c>
      <c r="D909" s="21"/>
      <c r="E909" s="21"/>
      <c r="F909" s="21"/>
      <c r="G909" s="21"/>
      <c r="H909" s="21"/>
      <c r="I909" s="21"/>
      <c r="J909" s="24"/>
      <c r="K909" s="24"/>
      <c r="L909" s="24"/>
      <c r="M909" s="24"/>
      <c r="N909" s="24"/>
      <c r="O909" s="24"/>
      <c r="P909" s="24"/>
      <c r="Q909" s="24"/>
    </row>
    <row r="910" spans="1:17" ht="16.2" x14ac:dyDescent="0.35">
      <c r="A910" s="20">
        <v>32339</v>
      </c>
      <c r="B910" s="21">
        <v>10.44</v>
      </c>
      <c r="C910" s="21">
        <v>2</v>
      </c>
      <c r="D910" s="21"/>
      <c r="E910" s="21"/>
      <c r="F910" s="21"/>
      <c r="G910" s="21"/>
      <c r="H910" s="21"/>
      <c r="I910" s="21"/>
      <c r="J910" s="24"/>
      <c r="K910" s="24"/>
      <c r="L910" s="24"/>
      <c r="M910" s="24"/>
      <c r="N910" s="24"/>
      <c r="O910" s="24"/>
      <c r="P910" s="24"/>
      <c r="Q910" s="24"/>
    </row>
    <row r="911" spans="1:17" ht="16.2" x14ac:dyDescent="0.35">
      <c r="A911" s="20">
        <v>32346</v>
      </c>
      <c r="B911" s="21">
        <v>10.46</v>
      </c>
      <c r="C911" s="21">
        <v>2.1</v>
      </c>
      <c r="D911" s="21"/>
      <c r="E911" s="21"/>
      <c r="F911" s="21"/>
      <c r="G911" s="21"/>
      <c r="H911" s="21"/>
      <c r="I911" s="21"/>
      <c r="J911" s="24"/>
      <c r="K911" s="24"/>
      <c r="L911" s="24"/>
      <c r="M911" s="24"/>
      <c r="N911" s="24"/>
      <c r="O911" s="24"/>
      <c r="P911" s="24"/>
      <c r="Q911" s="24"/>
    </row>
    <row r="912" spans="1:17" ht="16.2" x14ac:dyDescent="0.35">
      <c r="A912" s="20">
        <v>32353</v>
      </c>
      <c r="B912" s="21">
        <v>10.49</v>
      </c>
      <c r="C912" s="21">
        <v>2.1</v>
      </c>
      <c r="D912" s="21"/>
      <c r="E912" s="21"/>
      <c r="F912" s="21"/>
      <c r="G912" s="21"/>
      <c r="H912" s="21"/>
      <c r="I912" s="21"/>
      <c r="J912" s="24"/>
      <c r="K912" s="24"/>
      <c r="L912" s="24"/>
      <c r="M912" s="24"/>
      <c r="N912" s="24"/>
      <c r="O912" s="24"/>
      <c r="P912" s="24"/>
      <c r="Q912" s="24"/>
    </row>
    <row r="913" spans="1:17" ht="16.2" x14ac:dyDescent="0.35">
      <c r="A913" s="20">
        <v>32360</v>
      </c>
      <c r="B913" s="21">
        <v>10.44</v>
      </c>
      <c r="C913" s="21">
        <v>2</v>
      </c>
      <c r="D913" s="21"/>
      <c r="E913" s="21"/>
      <c r="F913" s="21"/>
      <c r="G913" s="21"/>
      <c r="H913" s="21"/>
      <c r="I913" s="21"/>
      <c r="J913" s="24"/>
      <c r="K913" s="24"/>
      <c r="L913" s="24"/>
      <c r="M913" s="24"/>
      <c r="N913" s="24"/>
      <c r="O913" s="24"/>
      <c r="P913" s="24"/>
      <c r="Q913" s="24"/>
    </row>
    <row r="914" spans="1:17" ht="16.2"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ht="16.2"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ht="16.2"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ht="16.2" x14ac:dyDescent="0.35">
      <c r="A917" s="20">
        <v>32388</v>
      </c>
      <c r="B917" s="21">
        <v>10.65</v>
      </c>
      <c r="C917" s="21">
        <v>2.4</v>
      </c>
      <c r="D917" s="21"/>
      <c r="E917" s="21"/>
      <c r="F917" s="21"/>
      <c r="G917" s="21"/>
      <c r="H917" s="21"/>
      <c r="I917" s="21"/>
      <c r="J917" s="24"/>
      <c r="K917" s="24"/>
      <c r="L917" s="24"/>
      <c r="M917" s="24"/>
      <c r="N917" s="24"/>
      <c r="O917" s="24"/>
      <c r="P917" s="24"/>
      <c r="Q917" s="24"/>
    </row>
    <row r="918" spans="1:17" ht="16.2" x14ac:dyDescent="0.35">
      <c r="A918" s="20">
        <v>32395</v>
      </c>
      <c r="B918" s="21">
        <v>10.53</v>
      </c>
      <c r="C918" s="21">
        <v>2.1</v>
      </c>
      <c r="D918" s="21"/>
      <c r="E918" s="21"/>
      <c r="F918" s="21"/>
      <c r="G918" s="21"/>
      <c r="H918" s="21"/>
      <c r="I918" s="21"/>
      <c r="J918" s="24"/>
      <c r="K918" s="24"/>
      <c r="L918" s="24"/>
      <c r="M918" s="24"/>
      <c r="N918" s="24"/>
      <c r="O918" s="24"/>
      <c r="P918" s="24"/>
      <c r="Q918" s="24"/>
    </row>
    <row r="919" spans="1:17" ht="16.2" x14ac:dyDescent="0.35">
      <c r="A919" s="20">
        <v>32402</v>
      </c>
      <c r="B919" s="21">
        <v>10.4</v>
      </c>
      <c r="C919" s="21">
        <v>2</v>
      </c>
      <c r="D919" s="21"/>
      <c r="E919" s="21"/>
      <c r="F919" s="21"/>
      <c r="G919" s="21"/>
      <c r="H919" s="21"/>
      <c r="I919" s="21"/>
      <c r="J919" s="24"/>
      <c r="K919" s="24"/>
      <c r="L919" s="24"/>
      <c r="M919" s="24"/>
      <c r="N919" s="24"/>
      <c r="O919" s="24"/>
      <c r="P919" s="24"/>
      <c r="Q919" s="24"/>
    </row>
    <row r="920" spans="1:17" ht="16.2" x14ac:dyDescent="0.35">
      <c r="A920" s="20">
        <v>32409</v>
      </c>
      <c r="B920" s="21">
        <v>10.4</v>
      </c>
      <c r="C920" s="21">
        <v>2</v>
      </c>
      <c r="D920" s="21"/>
      <c r="E920" s="21"/>
      <c r="F920" s="21"/>
      <c r="G920" s="21"/>
      <c r="H920" s="21"/>
      <c r="I920" s="21"/>
      <c r="J920" s="24"/>
      <c r="K920" s="24"/>
      <c r="L920" s="24"/>
      <c r="M920" s="24"/>
      <c r="N920" s="24"/>
      <c r="O920" s="24"/>
      <c r="P920" s="24"/>
      <c r="Q920" s="24"/>
    </row>
    <row r="921" spans="1:17" ht="16.2" x14ac:dyDescent="0.35">
      <c r="A921" s="20">
        <v>32416</v>
      </c>
      <c r="B921" s="21">
        <v>10.42</v>
      </c>
      <c r="C921" s="21">
        <v>2.1</v>
      </c>
      <c r="D921" s="21"/>
      <c r="E921" s="21"/>
      <c r="F921" s="21"/>
      <c r="G921" s="21"/>
      <c r="H921" s="21"/>
      <c r="I921" s="21"/>
      <c r="J921" s="24"/>
      <c r="K921" s="24"/>
      <c r="L921" s="24"/>
      <c r="M921" s="24"/>
      <c r="N921" s="24"/>
      <c r="O921" s="24"/>
      <c r="P921" s="24"/>
      <c r="Q921" s="24"/>
    </row>
    <row r="922" spans="1:17" ht="16.2" x14ac:dyDescent="0.35">
      <c r="A922" s="20">
        <v>32423</v>
      </c>
      <c r="B922" s="21">
        <v>10.38</v>
      </c>
      <c r="C922" s="21">
        <v>1.9</v>
      </c>
      <c r="D922" s="21"/>
      <c r="E922" s="21"/>
      <c r="F922" s="21"/>
      <c r="G922" s="21"/>
      <c r="H922" s="21"/>
      <c r="I922" s="21"/>
      <c r="J922" s="24"/>
      <c r="K922" s="24"/>
      <c r="L922" s="24"/>
      <c r="M922" s="24"/>
      <c r="N922" s="24"/>
      <c r="O922" s="24"/>
      <c r="P922" s="24"/>
      <c r="Q922" s="24"/>
    </row>
    <row r="923" spans="1:17" ht="16.2" x14ac:dyDescent="0.35">
      <c r="A923" s="20">
        <v>32430</v>
      </c>
      <c r="B923" s="21">
        <v>10.33</v>
      </c>
      <c r="C923" s="21">
        <v>1.9</v>
      </c>
      <c r="D923" s="21"/>
      <c r="E923" s="21"/>
      <c r="F923" s="21"/>
      <c r="G923" s="21"/>
      <c r="H923" s="21"/>
      <c r="I923" s="21"/>
      <c r="J923" s="24"/>
      <c r="K923" s="24"/>
      <c r="L923" s="24"/>
      <c r="M923" s="24"/>
      <c r="N923" s="24"/>
      <c r="O923" s="24"/>
      <c r="P923" s="24"/>
      <c r="Q923" s="24"/>
    </row>
    <row r="924" spans="1:17" ht="16.2" x14ac:dyDescent="0.35">
      <c r="A924" s="20">
        <v>32437</v>
      </c>
      <c r="B924" s="21">
        <v>10.28</v>
      </c>
      <c r="C924" s="21">
        <v>1.9</v>
      </c>
      <c r="D924" s="21"/>
      <c r="E924" s="21"/>
      <c r="F924" s="21"/>
      <c r="G924" s="21"/>
      <c r="H924" s="21"/>
      <c r="I924" s="21"/>
      <c r="J924" s="24"/>
      <c r="K924" s="24"/>
      <c r="L924" s="24"/>
      <c r="M924" s="24"/>
      <c r="N924" s="24"/>
      <c r="O924" s="24"/>
      <c r="P924" s="24"/>
      <c r="Q924" s="24"/>
    </row>
    <row r="925" spans="1:17" ht="16.2"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ht="16.2"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ht="16.2" x14ac:dyDescent="0.35">
      <c r="A927" s="20">
        <v>32458</v>
      </c>
      <c r="B927" s="21">
        <v>10.24</v>
      </c>
      <c r="C927" s="21">
        <v>2</v>
      </c>
      <c r="D927" s="21"/>
      <c r="E927" s="21"/>
      <c r="F927" s="21"/>
      <c r="G927" s="21"/>
      <c r="H927" s="21"/>
      <c r="I927" s="21"/>
      <c r="J927" s="24"/>
      <c r="K927" s="24"/>
      <c r="L927" s="24"/>
      <c r="M927" s="24"/>
      <c r="N927" s="24"/>
      <c r="O927" s="24"/>
      <c r="P927" s="24"/>
      <c r="Q927" s="24"/>
    </row>
    <row r="928" spans="1:17" ht="16.2"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ht="16.2" x14ac:dyDescent="0.35">
      <c r="A929" s="20">
        <v>32472</v>
      </c>
      <c r="B929" s="21">
        <v>10.39</v>
      </c>
      <c r="C929" s="21">
        <v>2.1</v>
      </c>
      <c r="D929" s="21"/>
      <c r="E929" s="21"/>
      <c r="F929" s="21"/>
      <c r="G929" s="21"/>
      <c r="H929" s="21"/>
      <c r="I929" s="21"/>
      <c r="J929" s="24"/>
      <c r="K929" s="24"/>
      <c r="L929" s="24"/>
      <c r="M929" s="24"/>
      <c r="N929" s="24"/>
      <c r="O929" s="24"/>
      <c r="P929" s="24"/>
      <c r="Q929" s="24"/>
    </row>
    <row r="930" spans="1:17" ht="16.2" x14ac:dyDescent="0.35">
      <c r="A930" s="20">
        <v>32479</v>
      </c>
      <c r="B930" s="21">
        <v>10.44</v>
      </c>
      <c r="C930" s="21">
        <v>2.1</v>
      </c>
      <c r="D930" s="21"/>
      <c r="E930" s="21"/>
      <c r="F930" s="21"/>
      <c r="G930" s="21"/>
      <c r="H930" s="21"/>
      <c r="I930" s="21"/>
      <c r="J930" s="24"/>
      <c r="K930" s="24"/>
      <c r="L930" s="24"/>
      <c r="M930" s="24"/>
      <c r="N930" s="24"/>
      <c r="O930" s="24"/>
      <c r="P930" s="24"/>
      <c r="Q930" s="24"/>
    </row>
    <row r="931" spans="1:17" ht="16.2" x14ac:dyDescent="0.35">
      <c r="A931" s="20">
        <v>32486</v>
      </c>
      <c r="B931" s="21">
        <v>10.46</v>
      </c>
      <c r="C931" s="21">
        <v>2</v>
      </c>
      <c r="D931" s="21"/>
      <c r="E931" s="21"/>
      <c r="F931" s="21"/>
      <c r="G931" s="21"/>
      <c r="H931" s="21"/>
      <c r="I931" s="21"/>
      <c r="J931" s="24"/>
      <c r="K931" s="24"/>
      <c r="L931" s="24"/>
      <c r="M931" s="24"/>
      <c r="N931" s="24"/>
      <c r="O931" s="24"/>
      <c r="P931" s="24"/>
      <c r="Q931" s="24"/>
    </row>
    <row r="932" spans="1:17" ht="16.2"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ht="16.2"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ht="16.2"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ht="16.2"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ht="16.2" x14ac:dyDescent="0.35">
      <c r="A936" s="20">
        <v>32521</v>
      </c>
      <c r="B936" s="21">
        <v>10.81</v>
      </c>
      <c r="C936" s="21">
        <v>2.1</v>
      </c>
      <c r="D936" s="21"/>
      <c r="E936" s="21"/>
      <c r="F936" s="21"/>
      <c r="G936" s="21"/>
      <c r="H936" s="21"/>
      <c r="I936" s="21"/>
      <c r="J936" s="24"/>
      <c r="K936" s="24"/>
      <c r="L936" s="24"/>
      <c r="M936" s="24"/>
      <c r="N936" s="24"/>
      <c r="O936" s="24"/>
      <c r="P936" s="24"/>
      <c r="Q936" s="24"/>
    </row>
    <row r="937" spans="1:17" ht="16.2" x14ac:dyDescent="0.35">
      <c r="A937" s="20">
        <v>32528</v>
      </c>
      <c r="B937" s="21">
        <v>10.71</v>
      </c>
      <c r="C937" s="21">
        <v>2</v>
      </c>
      <c r="D937" s="21"/>
      <c r="E937" s="21"/>
      <c r="F937" s="21"/>
      <c r="G937" s="21"/>
      <c r="H937" s="21"/>
      <c r="I937" s="21"/>
      <c r="J937" s="24"/>
      <c r="K937" s="24"/>
      <c r="L937" s="24"/>
      <c r="M937" s="24"/>
      <c r="N937" s="24"/>
      <c r="O937" s="24"/>
      <c r="P937" s="24"/>
      <c r="Q937" s="24"/>
    </row>
    <row r="938" spans="1:17" ht="16.2" x14ac:dyDescent="0.35">
      <c r="A938" s="20">
        <v>32535</v>
      </c>
      <c r="B938" s="21">
        <v>10.6</v>
      </c>
      <c r="C938" s="21">
        <v>2.1</v>
      </c>
      <c r="D938" s="21"/>
      <c r="E938" s="21"/>
      <c r="F938" s="21"/>
      <c r="G938" s="21"/>
      <c r="H938" s="21"/>
      <c r="I938" s="21"/>
      <c r="J938" s="24"/>
      <c r="K938" s="24"/>
      <c r="L938" s="24"/>
      <c r="M938" s="24"/>
      <c r="N938" s="24"/>
      <c r="O938" s="24"/>
      <c r="P938" s="24"/>
      <c r="Q938" s="24"/>
    </row>
    <row r="939" spans="1:17" ht="16.2" x14ac:dyDescent="0.35">
      <c r="A939" s="20">
        <v>32542</v>
      </c>
      <c r="B939" s="21">
        <v>10.55</v>
      </c>
      <c r="C939" s="21">
        <v>2.1</v>
      </c>
      <c r="D939" s="21"/>
      <c r="E939" s="21"/>
      <c r="F939" s="21"/>
      <c r="G939" s="21"/>
      <c r="H939" s="21"/>
      <c r="I939" s="21"/>
      <c r="J939" s="24"/>
      <c r="K939" s="24"/>
      <c r="L939" s="24"/>
      <c r="M939" s="24"/>
      <c r="N939" s="24"/>
      <c r="O939" s="24"/>
      <c r="P939" s="24"/>
      <c r="Q939" s="24"/>
    </row>
    <row r="940" spans="1:17" ht="16.2" x14ac:dyDescent="0.35">
      <c r="A940" s="20">
        <v>32549</v>
      </c>
      <c r="B940" s="21">
        <v>10.56</v>
      </c>
      <c r="C940" s="21">
        <v>2</v>
      </c>
      <c r="D940" s="21"/>
      <c r="E940" s="21"/>
      <c r="F940" s="21"/>
      <c r="G940" s="21"/>
      <c r="H940" s="21"/>
      <c r="I940" s="21"/>
      <c r="J940" s="24"/>
      <c r="K940" s="24"/>
      <c r="L940" s="24"/>
      <c r="M940" s="24"/>
      <c r="N940" s="24"/>
      <c r="O940" s="24"/>
      <c r="P940" s="24"/>
      <c r="Q940" s="24"/>
    </row>
    <row r="941" spans="1:17" ht="16.2"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ht="16.2"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ht="16.2"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ht="16.2"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ht="16.2" x14ac:dyDescent="0.35">
      <c r="A945" s="20">
        <v>32584</v>
      </c>
      <c r="B945" s="21">
        <v>10.98</v>
      </c>
      <c r="C945" s="21">
        <v>2.1</v>
      </c>
      <c r="D945" s="21"/>
      <c r="E945" s="21"/>
      <c r="F945" s="21"/>
      <c r="G945" s="21"/>
      <c r="H945" s="21"/>
      <c r="I945" s="21"/>
      <c r="J945" s="24"/>
      <c r="K945" s="24"/>
      <c r="L945" s="24"/>
      <c r="M945" s="24"/>
      <c r="N945" s="24"/>
      <c r="O945" s="24"/>
      <c r="P945" s="24"/>
      <c r="Q945" s="24"/>
    </row>
    <row r="946" spans="1:17" ht="16.2"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ht="16.2"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ht="16.2"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ht="16.2"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ht="16.2" x14ac:dyDescent="0.35">
      <c r="A950" s="20">
        <v>32619</v>
      </c>
      <c r="B950" s="21">
        <v>10.99</v>
      </c>
      <c r="C950" s="21">
        <v>2.1</v>
      </c>
      <c r="D950" s="21"/>
      <c r="E950" s="21"/>
      <c r="F950" s="21"/>
      <c r="G950" s="21"/>
      <c r="H950" s="21"/>
      <c r="I950" s="21"/>
      <c r="J950" s="24"/>
      <c r="K950" s="24"/>
      <c r="L950" s="24"/>
      <c r="M950" s="24"/>
      <c r="N950" s="24"/>
      <c r="O950" s="24"/>
      <c r="P950" s="24"/>
      <c r="Q950" s="24"/>
    </row>
    <row r="951" spans="1:17" ht="16.2" x14ac:dyDescent="0.35">
      <c r="A951" s="20">
        <v>32626</v>
      </c>
      <c r="B951" s="21">
        <v>11.03</v>
      </c>
      <c r="C951" s="21">
        <v>2.1</v>
      </c>
      <c r="D951" s="21"/>
      <c r="E951" s="21"/>
      <c r="F951" s="21"/>
      <c r="G951" s="21"/>
      <c r="H951" s="21"/>
      <c r="I951" s="21"/>
      <c r="J951" s="24"/>
      <c r="K951" s="24"/>
      <c r="L951" s="24"/>
      <c r="M951" s="24"/>
      <c r="N951" s="24"/>
      <c r="O951" s="24"/>
      <c r="P951" s="24"/>
      <c r="Q951" s="24"/>
    </row>
    <row r="952" spans="1:17" ht="16.2" x14ac:dyDescent="0.35">
      <c r="A952" s="20">
        <v>32633</v>
      </c>
      <c r="B952" s="21">
        <v>10.97</v>
      </c>
      <c r="C952" s="21">
        <v>2.1</v>
      </c>
      <c r="D952" s="21"/>
      <c r="E952" s="21"/>
      <c r="F952" s="21"/>
      <c r="G952" s="21"/>
      <c r="H952" s="21"/>
      <c r="I952" s="21"/>
      <c r="J952" s="24"/>
      <c r="K952" s="24"/>
      <c r="L952" s="24"/>
      <c r="M952" s="24"/>
      <c r="N952" s="24"/>
      <c r="O952" s="24"/>
      <c r="P952" s="24"/>
      <c r="Q952" s="24"/>
    </row>
    <row r="953" spans="1:17" ht="16.2"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ht="16.2" x14ac:dyDescent="0.35">
      <c r="A954" s="20">
        <v>32647</v>
      </c>
      <c r="B954" s="21">
        <v>10.69</v>
      </c>
      <c r="C954" s="21">
        <v>2</v>
      </c>
      <c r="D954" s="21"/>
      <c r="E954" s="21"/>
      <c r="F954" s="21"/>
      <c r="G954" s="21"/>
      <c r="H954" s="21"/>
      <c r="I954" s="21"/>
      <c r="J954" s="24"/>
      <c r="K954" s="24"/>
      <c r="L954" s="24"/>
      <c r="M954" s="24"/>
      <c r="N954" s="24"/>
      <c r="O954" s="24"/>
      <c r="P954" s="24"/>
      <c r="Q954" s="24"/>
    </row>
    <row r="955" spans="1:17" ht="16.2" x14ac:dyDescent="0.35">
      <c r="A955" s="20">
        <v>32654</v>
      </c>
      <c r="B955" s="21">
        <v>10.5</v>
      </c>
      <c r="C955" s="21">
        <v>2</v>
      </c>
      <c r="D955" s="21"/>
      <c r="E955" s="21"/>
      <c r="F955" s="21"/>
      <c r="G955" s="21"/>
      <c r="H955" s="21"/>
      <c r="I955" s="21"/>
      <c r="J955" s="24"/>
      <c r="K955" s="24"/>
      <c r="L955" s="24"/>
      <c r="M955" s="24"/>
      <c r="N955" s="24"/>
      <c r="O955" s="24"/>
      <c r="P955" s="24"/>
      <c r="Q955" s="24"/>
    </row>
    <row r="956" spans="1:17" ht="16.2" x14ac:dyDescent="0.35">
      <c r="A956" s="20">
        <v>32661</v>
      </c>
      <c r="B956" s="21">
        <v>10.48</v>
      </c>
      <c r="C956" s="21">
        <v>2</v>
      </c>
      <c r="D956" s="21"/>
      <c r="E956" s="21"/>
      <c r="F956" s="21"/>
      <c r="G956" s="21"/>
      <c r="H956" s="21"/>
      <c r="I956" s="21"/>
      <c r="J956" s="24"/>
      <c r="K956" s="24"/>
      <c r="L956" s="24"/>
      <c r="M956" s="24"/>
      <c r="N956" s="24"/>
      <c r="O956" s="24"/>
      <c r="P956" s="24"/>
      <c r="Q956" s="24"/>
    </row>
    <row r="957" spans="1:17" ht="16.2"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ht="16.2"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ht="16.2" x14ac:dyDescent="0.35">
      <c r="A959" s="20">
        <v>32682</v>
      </c>
      <c r="B959" s="21">
        <v>10.19</v>
      </c>
      <c r="C959" s="21">
        <v>2.1</v>
      </c>
      <c r="D959" s="21"/>
      <c r="E959" s="21"/>
      <c r="F959" s="21"/>
      <c r="G959" s="21"/>
      <c r="H959" s="21"/>
      <c r="I959" s="21"/>
      <c r="J959" s="24"/>
      <c r="K959" s="24"/>
      <c r="L959" s="24"/>
      <c r="M959" s="24"/>
      <c r="N959" s="24"/>
      <c r="O959" s="24"/>
      <c r="P959" s="24"/>
      <c r="Q959" s="24"/>
    </row>
    <row r="960" spans="1:17" ht="16.2" x14ac:dyDescent="0.35">
      <c r="A960" s="20">
        <v>32689</v>
      </c>
      <c r="B960" s="21">
        <v>10.07</v>
      </c>
      <c r="C960" s="21">
        <v>2.1</v>
      </c>
      <c r="D960" s="21"/>
      <c r="E960" s="21"/>
      <c r="F960" s="21"/>
      <c r="G960" s="21"/>
      <c r="H960" s="21"/>
      <c r="I960" s="21"/>
      <c r="J960" s="24"/>
      <c r="K960" s="24"/>
      <c r="L960" s="24"/>
      <c r="M960" s="24"/>
      <c r="N960" s="24"/>
      <c r="O960" s="24"/>
      <c r="P960" s="24"/>
      <c r="Q960" s="24"/>
    </row>
    <row r="961" spans="1:17" ht="16.2"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ht="16.2" x14ac:dyDescent="0.35">
      <c r="A962" s="20">
        <v>32703</v>
      </c>
      <c r="B962" s="21">
        <v>9.82</v>
      </c>
      <c r="C962" s="21">
        <v>2.1</v>
      </c>
      <c r="D962" s="21"/>
      <c r="E962" s="21"/>
      <c r="F962" s="21"/>
      <c r="G962" s="21"/>
      <c r="H962" s="21"/>
      <c r="I962" s="21"/>
      <c r="J962" s="24"/>
      <c r="K962" s="24"/>
      <c r="L962" s="24"/>
      <c r="M962" s="24"/>
      <c r="N962" s="24"/>
      <c r="O962" s="24"/>
      <c r="P962" s="24"/>
      <c r="Q962" s="24"/>
    </row>
    <row r="963" spans="1:17" ht="16.2"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ht="16.2" x14ac:dyDescent="0.35">
      <c r="A964" s="20">
        <v>32717</v>
      </c>
      <c r="B964" s="21">
        <v>9.81</v>
      </c>
      <c r="C964" s="21">
        <v>2.1</v>
      </c>
      <c r="D964" s="21"/>
      <c r="E964" s="21"/>
      <c r="F964" s="21"/>
      <c r="G964" s="21"/>
      <c r="H964" s="21"/>
      <c r="I964" s="21"/>
      <c r="J964" s="24"/>
      <c r="K964" s="24"/>
      <c r="L964" s="24"/>
      <c r="M964" s="24"/>
      <c r="N964" s="24"/>
      <c r="O964" s="24"/>
      <c r="P964" s="24"/>
      <c r="Q964" s="24"/>
    </row>
    <row r="965" spans="1:17" ht="16.2" x14ac:dyDescent="0.35">
      <c r="A965" s="20">
        <v>32724</v>
      </c>
      <c r="B965" s="21">
        <v>9.68</v>
      </c>
      <c r="C965" s="21">
        <v>2</v>
      </c>
      <c r="D965" s="21"/>
      <c r="E965" s="21"/>
      <c r="F965" s="21"/>
      <c r="G965" s="21"/>
      <c r="H965" s="21"/>
      <c r="I965" s="21"/>
      <c r="J965" s="24"/>
      <c r="K965" s="24"/>
      <c r="L965" s="24"/>
      <c r="M965" s="24"/>
      <c r="N965" s="24"/>
      <c r="O965" s="24"/>
      <c r="P965" s="24"/>
      <c r="Q965" s="24"/>
    </row>
    <row r="966" spans="1:17" ht="16.2"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ht="16.2" x14ac:dyDescent="0.35">
      <c r="A967" s="20">
        <v>32738</v>
      </c>
      <c r="B967" s="21">
        <v>10.09</v>
      </c>
      <c r="C967" s="21">
        <v>2.1</v>
      </c>
      <c r="D967" s="21"/>
      <c r="E967" s="21"/>
      <c r="F967" s="21"/>
      <c r="G967" s="21"/>
      <c r="H967" s="21"/>
      <c r="I967" s="21"/>
      <c r="J967" s="24"/>
      <c r="K967" s="24"/>
      <c r="L967" s="24"/>
      <c r="M967" s="24"/>
      <c r="N967" s="24"/>
      <c r="O967" s="24"/>
      <c r="P967" s="24"/>
      <c r="Q967" s="24"/>
    </row>
    <row r="968" spans="1:17" ht="16.2"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ht="16.2"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ht="16.2" x14ac:dyDescent="0.35">
      <c r="A970" s="20">
        <v>32759</v>
      </c>
      <c r="B970" s="21">
        <v>10.17</v>
      </c>
      <c r="C970" s="21">
        <v>2</v>
      </c>
      <c r="D970" s="21"/>
      <c r="E970" s="21"/>
      <c r="F970" s="21"/>
      <c r="G970" s="21"/>
      <c r="H970" s="21"/>
      <c r="I970" s="21"/>
      <c r="J970" s="24"/>
      <c r="K970" s="24"/>
      <c r="L970" s="24"/>
      <c r="M970" s="24"/>
      <c r="N970" s="24"/>
      <c r="O970" s="24"/>
      <c r="P970" s="24"/>
      <c r="Q970" s="24"/>
    </row>
    <row r="971" spans="1:17" ht="16.2"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ht="16.2"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ht="16.2" x14ac:dyDescent="0.35">
      <c r="A973" s="20">
        <v>32780</v>
      </c>
      <c r="B973" s="21">
        <v>10.16</v>
      </c>
      <c r="C973" s="21">
        <v>2.1</v>
      </c>
      <c r="D973" s="21"/>
      <c r="E973" s="21"/>
      <c r="F973" s="21"/>
      <c r="G973" s="21"/>
      <c r="H973" s="21"/>
      <c r="I973" s="21"/>
      <c r="J973" s="24"/>
      <c r="K973" s="24"/>
      <c r="L973" s="24"/>
      <c r="M973" s="24"/>
      <c r="N973" s="24"/>
      <c r="O973" s="24"/>
      <c r="P973" s="24"/>
      <c r="Q973" s="24"/>
    </row>
    <row r="974" spans="1:17" ht="16.2" x14ac:dyDescent="0.35">
      <c r="A974" s="20">
        <v>32787</v>
      </c>
      <c r="B974" s="21">
        <v>10.1</v>
      </c>
      <c r="C974" s="21">
        <v>2.1</v>
      </c>
      <c r="D974" s="21"/>
      <c r="E974" s="21"/>
      <c r="F974" s="21"/>
      <c r="G974" s="21"/>
      <c r="H974" s="21"/>
      <c r="I974" s="21"/>
      <c r="J974" s="24"/>
      <c r="K974" s="24"/>
      <c r="L974" s="24"/>
      <c r="M974" s="24"/>
      <c r="N974" s="24"/>
      <c r="O974" s="24"/>
      <c r="P974" s="24"/>
      <c r="Q974" s="24"/>
    </row>
    <row r="975" spans="1:17" ht="16.2"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ht="16.2" x14ac:dyDescent="0.35">
      <c r="A976" s="20">
        <v>32801</v>
      </c>
      <c r="B976" s="21">
        <v>9.92</v>
      </c>
      <c r="C976" s="21">
        <v>2</v>
      </c>
      <c r="D976" s="21"/>
      <c r="E976" s="21"/>
      <c r="F976" s="21"/>
      <c r="G976" s="21"/>
      <c r="H976" s="21"/>
      <c r="I976" s="21"/>
      <c r="J976" s="24"/>
      <c r="K976" s="24"/>
      <c r="L976" s="24"/>
      <c r="M976" s="24"/>
      <c r="N976" s="24"/>
      <c r="O976" s="24"/>
      <c r="P976" s="24"/>
      <c r="Q976" s="24"/>
    </row>
    <row r="977" spans="1:17" ht="16.2" x14ac:dyDescent="0.35">
      <c r="A977" s="20">
        <v>32808</v>
      </c>
      <c r="B977" s="21">
        <v>9.82</v>
      </c>
      <c r="C977" s="21">
        <v>2</v>
      </c>
      <c r="D977" s="21"/>
      <c r="E977" s="21"/>
      <c r="F977" s="21"/>
      <c r="G977" s="21"/>
      <c r="H977" s="21"/>
      <c r="I977" s="21"/>
      <c r="J977" s="24"/>
      <c r="K977" s="24"/>
      <c r="L977" s="24"/>
      <c r="M977" s="24"/>
      <c r="N977" s="24"/>
      <c r="O977" s="24"/>
      <c r="P977" s="24"/>
      <c r="Q977" s="24"/>
    </row>
    <row r="978" spans="1:17" ht="16.2" x14ac:dyDescent="0.35">
      <c r="A978" s="20">
        <v>32815</v>
      </c>
      <c r="B978" s="21">
        <v>9.82</v>
      </c>
      <c r="C978" s="21">
        <v>2</v>
      </c>
      <c r="D978" s="21"/>
      <c r="E978" s="21"/>
      <c r="F978" s="21"/>
      <c r="G978" s="21"/>
      <c r="H978" s="21"/>
      <c r="I978" s="21"/>
      <c r="J978" s="24"/>
      <c r="K978" s="24"/>
      <c r="L978" s="24"/>
      <c r="M978" s="24"/>
      <c r="N978" s="24"/>
      <c r="O978" s="24"/>
      <c r="P978" s="24"/>
      <c r="Q978" s="24"/>
    </row>
    <row r="979" spans="1:17" ht="16.2"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ht="16.2"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ht="16.2" x14ac:dyDescent="0.35">
      <c r="A981" s="20">
        <v>32836</v>
      </c>
      <c r="B981" s="21">
        <v>9.74</v>
      </c>
      <c r="C981" s="21">
        <v>2</v>
      </c>
      <c r="D981" s="21"/>
      <c r="E981" s="21"/>
      <c r="F981" s="21"/>
      <c r="G981" s="21"/>
      <c r="H981" s="21"/>
      <c r="I981" s="21"/>
      <c r="J981" s="24"/>
      <c r="K981" s="24"/>
      <c r="L981" s="24"/>
      <c r="M981" s="24"/>
      <c r="N981" s="24"/>
      <c r="O981" s="24"/>
      <c r="P981" s="24"/>
      <c r="Q981" s="24"/>
    </row>
    <row r="982" spans="1:17" ht="16.2" x14ac:dyDescent="0.35">
      <c r="A982" s="20">
        <v>32843</v>
      </c>
      <c r="B982" s="21">
        <v>9.74</v>
      </c>
      <c r="C982" s="21">
        <v>2</v>
      </c>
      <c r="D982" s="21"/>
      <c r="E982" s="21"/>
      <c r="F982" s="21"/>
      <c r="G982" s="21"/>
      <c r="H982" s="21"/>
      <c r="I982" s="21"/>
      <c r="J982" s="24"/>
      <c r="K982" s="24"/>
      <c r="L982" s="24"/>
      <c r="M982" s="24"/>
      <c r="N982" s="24"/>
      <c r="O982" s="24"/>
      <c r="P982" s="24"/>
      <c r="Q982" s="24"/>
    </row>
    <row r="983" spans="1:17" ht="16.2" x14ac:dyDescent="0.35">
      <c r="A983" s="20">
        <v>32850</v>
      </c>
      <c r="B983" s="21">
        <v>9.76</v>
      </c>
      <c r="C983" s="21">
        <v>2</v>
      </c>
      <c r="D983" s="21"/>
      <c r="E983" s="21"/>
      <c r="F983" s="21"/>
      <c r="G983" s="21"/>
      <c r="H983" s="21"/>
      <c r="I983" s="21"/>
      <c r="J983" s="24"/>
      <c r="K983" s="24"/>
      <c r="L983" s="24"/>
      <c r="M983" s="24"/>
      <c r="N983" s="24"/>
      <c r="O983" s="24"/>
      <c r="P983" s="24"/>
      <c r="Q983" s="24"/>
    </row>
    <row r="984" spans="1:17" ht="16.2" x14ac:dyDescent="0.35">
      <c r="A984" s="20">
        <v>32857</v>
      </c>
      <c r="B984" s="21">
        <v>9.75</v>
      </c>
      <c r="C984" s="21">
        <v>1.9</v>
      </c>
      <c r="D984" s="21"/>
      <c r="E984" s="21"/>
      <c r="F984" s="21"/>
      <c r="G984" s="21"/>
      <c r="H984" s="21"/>
      <c r="I984" s="21"/>
      <c r="J984" s="24"/>
      <c r="K984" s="24"/>
      <c r="L984" s="24"/>
      <c r="M984" s="24"/>
      <c r="N984" s="24"/>
      <c r="O984" s="24"/>
      <c r="P984" s="24"/>
      <c r="Q984" s="24"/>
    </row>
    <row r="985" spans="1:17" ht="16.2" x14ac:dyDescent="0.35">
      <c r="A985" s="20">
        <v>32864</v>
      </c>
      <c r="B985" s="21">
        <v>9.69</v>
      </c>
      <c r="C985" s="21">
        <v>2</v>
      </c>
      <c r="D985" s="21"/>
      <c r="E985" s="21"/>
      <c r="F985" s="21"/>
      <c r="G985" s="21"/>
      <c r="H985" s="21"/>
      <c r="I985" s="21"/>
      <c r="J985" s="24"/>
      <c r="K985" s="24"/>
      <c r="L985" s="24"/>
      <c r="M985" s="24"/>
      <c r="N985" s="24"/>
      <c r="O985" s="24"/>
      <c r="P985" s="24"/>
      <c r="Q985" s="24"/>
    </row>
    <row r="986" spans="1:17" ht="16.2"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ht="16.2" x14ac:dyDescent="0.35">
      <c r="A987" s="20">
        <v>32878</v>
      </c>
      <c r="B987" s="21">
        <v>9.83</v>
      </c>
      <c r="C987" s="21">
        <v>2</v>
      </c>
      <c r="D987" s="21"/>
      <c r="E987" s="21"/>
      <c r="F987" s="21"/>
      <c r="G987" s="21"/>
      <c r="H987" s="21"/>
      <c r="I987" s="21"/>
      <c r="J987" s="24"/>
      <c r="K987" s="24"/>
      <c r="L987" s="24"/>
      <c r="M987" s="24"/>
      <c r="N987" s="24"/>
      <c r="O987" s="24"/>
      <c r="P987" s="24"/>
      <c r="Q987" s="24"/>
    </row>
    <row r="988" spans="1:17" ht="16.2"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ht="16.2" x14ac:dyDescent="0.35">
      <c r="A989" s="20">
        <v>32892</v>
      </c>
      <c r="B989" s="21">
        <v>9.9</v>
      </c>
      <c r="C989" s="21">
        <v>2.1</v>
      </c>
      <c r="D989" s="21"/>
      <c r="E989" s="21"/>
      <c r="F989" s="21"/>
      <c r="G989" s="21"/>
      <c r="H989" s="21"/>
      <c r="I989" s="21"/>
      <c r="J989" s="24"/>
      <c r="K989" s="24"/>
      <c r="L989" s="24"/>
      <c r="M989" s="24"/>
      <c r="N989" s="24"/>
      <c r="O989" s="24"/>
      <c r="P989" s="24"/>
      <c r="Q989" s="24"/>
    </row>
    <row r="990" spans="1:17" ht="16.2"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ht="16.2" x14ac:dyDescent="0.35">
      <c r="A991" s="20">
        <v>32906</v>
      </c>
      <c r="B991" s="21">
        <v>10.17</v>
      </c>
      <c r="C991" s="21">
        <v>2.1</v>
      </c>
      <c r="D991" s="21"/>
      <c r="E991" s="21"/>
      <c r="F991" s="21"/>
      <c r="G991" s="21"/>
      <c r="H991" s="21"/>
      <c r="I991" s="21"/>
      <c r="J991" s="24"/>
      <c r="K991" s="24"/>
      <c r="L991" s="24"/>
      <c r="M991" s="24"/>
      <c r="N991" s="24"/>
      <c r="O991" s="24"/>
      <c r="P991" s="24"/>
      <c r="Q991" s="24"/>
    </row>
    <row r="992" spans="1:17" ht="16.2"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ht="16.2" x14ac:dyDescent="0.35">
      <c r="A993" s="20">
        <v>32920</v>
      </c>
      <c r="B993" s="21">
        <v>10.1</v>
      </c>
      <c r="C993" s="21">
        <v>2.1</v>
      </c>
      <c r="D993" s="21"/>
      <c r="E993" s="21"/>
      <c r="F993" s="21"/>
      <c r="G993" s="21"/>
      <c r="H993" s="21"/>
      <c r="I993" s="21"/>
      <c r="J993" s="24"/>
      <c r="K993" s="24"/>
      <c r="L993" s="24"/>
      <c r="M993" s="24"/>
      <c r="N993" s="24"/>
      <c r="O993" s="24"/>
      <c r="P993" s="24"/>
      <c r="Q993" s="24"/>
    </row>
    <row r="994" spans="1:17" ht="16.2" x14ac:dyDescent="0.35">
      <c r="A994" s="20">
        <v>32927</v>
      </c>
      <c r="B994" s="21">
        <v>10.31</v>
      </c>
      <c r="C994" s="21">
        <v>2.1</v>
      </c>
      <c r="D994" s="21"/>
      <c r="E994" s="21"/>
      <c r="F994" s="21"/>
      <c r="G994" s="21"/>
      <c r="H994" s="21"/>
      <c r="I994" s="21"/>
      <c r="J994" s="24"/>
      <c r="K994" s="24"/>
      <c r="L994" s="24"/>
      <c r="M994" s="24"/>
      <c r="N994" s="24"/>
      <c r="O994" s="24"/>
      <c r="P994" s="24"/>
      <c r="Q994" s="24"/>
    </row>
    <row r="995" spans="1:17" ht="16.2" x14ac:dyDescent="0.35">
      <c r="A995" s="20">
        <v>32934</v>
      </c>
      <c r="B995" s="21">
        <v>10.23</v>
      </c>
      <c r="C995" s="21">
        <v>2.1</v>
      </c>
      <c r="D995" s="21"/>
      <c r="E995" s="21"/>
      <c r="F995" s="21"/>
      <c r="G995" s="21"/>
      <c r="H995" s="21"/>
      <c r="I995" s="21"/>
      <c r="J995" s="24"/>
      <c r="K995" s="24"/>
      <c r="L995" s="24"/>
      <c r="M995" s="24"/>
      <c r="N995" s="24"/>
      <c r="O995" s="24"/>
      <c r="P995" s="24"/>
      <c r="Q995" s="24"/>
    </row>
    <row r="996" spans="1:17" ht="16.2" x14ac:dyDescent="0.35">
      <c r="A996" s="20">
        <v>32941</v>
      </c>
      <c r="B996" s="21">
        <v>10.29</v>
      </c>
      <c r="C996" s="21">
        <v>2.1</v>
      </c>
      <c r="D996" s="21"/>
      <c r="E996" s="21"/>
      <c r="F996" s="21"/>
      <c r="G996" s="21"/>
      <c r="H996" s="21"/>
      <c r="I996" s="21"/>
      <c r="J996" s="24"/>
      <c r="K996" s="24"/>
      <c r="L996" s="24"/>
      <c r="M996" s="24"/>
      <c r="N996" s="24"/>
      <c r="O996" s="24"/>
      <c r="P996" s="24"/>
      <c r="Q996" s="24"/>
    </row>
    <row r="997" spans="1:17" ht="16.2" x14ac:dyDescent="0.35">
      <c r="A997" s="20">
        <v>32948</v>
      </c>
      <c r="B997" s="21">
        <v>10.34</v>
      </c>
      <c r="C997" s="21">
        <v>2</v>
      </c>
      <c r="D997" s="21"/>
      <c r="E997" s="21"/>
      <c r="F997" s="21"/>
      <c r="G997" s="21"/>
      <c r="H997" s="21"/>
      <c r="I997" s="21"/>
      <c r="J997" s="24"/>
      <c r="K997" s="24"/>
      <c r="L997" s="24"/>
      <c r="M997" s="24"/>
      <c r="N997" s="24"/>
      <c r="O997" s="24"/>
      <c r="P997" s="24"/>
      <c r="Q997" s="24"/>
    </row>
    <row r="998" spans="1:17" ht="16.2" x14ac:dyDescent="0.35">
      <c r="A998" s="20">
        <v>32955</v>
      </c>
      <c r="B998" s="21">
        <v>10.26</v>
      </c>
      <c r="C998" s="21">
        <v>2</v>
      </c>
      <c r="D998" s="21"/>
      <c r="E998" s="21"/>
      <c r="F998" s="21"/>
      <c r="G998" s="21"/>
      <c r="H998" s="21"/>
      <c r="I998" s="21"/>
      <c r="J998" s="24"/>
      <c r="K998" s="24"/>
      <c r="L998" s="24"/>
      <c r="M998" s="24"/>
      <c r="N998" s="24"/>
      <c r="O998" s="24"/>
      <c r="P998" s="24"/>
      <c r="Q998" s="24"/>
    </row>
    <row r="999" spans="1:17" ht="16.2"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ht="16.2"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ht="16.2"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ht="16.2"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ht="16.2"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ht="16.2"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ht="16.2"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ht="16.2"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ht="16.2"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ht="16.2"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ht="16.2"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ht="16.2"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ht="16.2"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ht="16.2"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ht="16.2"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ht="16.2"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ht="16.2"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ht="16.2"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ht="16.2"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ht="16.2"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ht="16.2"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ht="16.2"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ht="16.2"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ht="16.2"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ht="16.2"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ht="16.2"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ht="16.2"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ht="16.2"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ht="16.2"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ht="16.2"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ht="16.2"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ht="16.2"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ht="16.2"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ht="16.2"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ht="16.2"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ht="16.2"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ht="16.2"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ht="16.2"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ht="16.2"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ht="16.2"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ht="16.2"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ht="16.2"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ht="16.2"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ht="16.2"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ht="16.2"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ht="16.2"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ht="16.2"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ht="16.2"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ht="16.2"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ht="16.2"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ht="16.2"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ht="16.2"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ht="16.2"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ht="16.2"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ht="16.2"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ht="16.2"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ht="16.2"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ht="16.2"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ht="16.2"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ht="16.2"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ht="16.2"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ht="16.2"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ht="16.2"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ht="16.2"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ht="16.2"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ht="16.2"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ht="16.2"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ht="16.2"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ht="16.2"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ht="16.2"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ht="16.2"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ht="16.2"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ht="16.2"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ht="16.2"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ht="16.2"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ht="16.2"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ht="16.2"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ht="16.2"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ht="16.2"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ht="16.2"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ht="16.2"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ht="16.2"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ht="16.2"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ht="16.2"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ht="16.2"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ht="16.2"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ht="16.2"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ht="16.2"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ht="16.2"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ht="16.2"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ht="16.2"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ht="16.2"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ht="16.2"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ht="16.2"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ht="16.2"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ht="16.2"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ht="16.2"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ht="16.2"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ht="16.2"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ht="16.2"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ht="16.2"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ht="16.2"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ht="16.2"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ht="16.2"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ht="16.2"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ht="16.2"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ht="16.2"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ht="16.2"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ht="16.2"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ht="16.2"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ht="16.2"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ht="16.2"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ht="16.2"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ht="16.2"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ht="16.2"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ht="16.2"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ht="16.2"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ht="16.2"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ht="16.2"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ht="16.2"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ht="16.2"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ht="16.2"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ht="16.2"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ht="16.2"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ht="16.2"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ht="16.2"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ht="16.2"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ht="16.2"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ht="16.2"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ht="16.2"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ht="16.2"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ht="16.2"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ht="16.2"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ht="16.2"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ht="16.2"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ht="16.2"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ht="16.2"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ht="16.2"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ht="16.2"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ht="16.2"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ht="16.2"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ht="16.2"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ht="16.2"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ht="16.2"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ht="16.2"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ht="16.2"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ht="16.2"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ht="16.2"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ht="16.2"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ht="16.2"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ht="16.2"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ht="16.2"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ht="16.2"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ht="16.2"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ht="16.2"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ht="16.2"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ht="16.2"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ht="16.2"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ht="16.2"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ht="16.2"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ht="16.2"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ht="16.2"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ht="16.2"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ht="16.2"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ht="16.2"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ht="16.2"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ht="16.2"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ht="16.2"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ht="16.2"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ht="16.2"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ht="16.2"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ht="16.2"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ht="16.2"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ht="16.2"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ht="16.2"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ht="16.2"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ht="16.2"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ht="16.2"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ht="16.2"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ht="16.2"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ht="16.2"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ht="16.2"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ht="16.2"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ht="16.2"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ht="16.2"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ht="16.2"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ht="16.2"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ht="16.2"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ht="16.2"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ht="16.2"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ht="16.2"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ht="16.2"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ht="16.2"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ht="16.2"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ht="16.2"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ht="16.2"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ht="16.2"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ht="16.2"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ht="16.2"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ht="16.2"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ht="16.2"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ht="16.2"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ht="16.2"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ht="16.2"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ht="16.2"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ht="16.2"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ht="16.2"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ht="16.2"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ht="16.2"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ht="16.2"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ht="16.2"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ht="16.2"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ht="16.2"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ht="16.2"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ht="16.2"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ht="16.2"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ht="16.2"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ht="16.2"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ht="16.2"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ht="16.2"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ht="16.2"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ht="16.2"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ht="16.2"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ht="16.2"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ht="16.2"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ht="16.2"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ht="16.2"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ht="16.2"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ht="16.2"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ht="16.2"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ht="16.2"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ht="16.2"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ht="16.2"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ht="16.2"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ht="16.2"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ht="16.2"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ht="16.2"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ht="16.2"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ht="16.2"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ht="16.2"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ht="16.2"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ht="16.2"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ht="16.2"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ht="16.2"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ht="16.2"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ht="16.2"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ht="16.2"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ht="16.2"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ht="16.2"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ht="16.2"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ht="16.2"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ht="16.2"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ht="16.2"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ht="16.2"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ht="16.2"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ht="16.2"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ht="16.2"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ht="16.2"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ht="16.2"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ht="16.2"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ht="16.2"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ht="16.2"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ht="16.2"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ht="16.2"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ht="16.2"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ht="16.2"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ht="16.2"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ht="16.2"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ht="16.2"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ht="16.2"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ht="16.2"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ht="16.2"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ht="16.2"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ht="16.2"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ht="16.2"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ht="16.2"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ht="16.2"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ht="16.2"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ht="16.2"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ht="16.2"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ht="16.2"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ht="16.2"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ht="16.2"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ht="16.2"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ht="16.2"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ht="16.2"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ht="16.2"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ht="16.2"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ht="16.2"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ht="16.2"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ht="16.2"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ht="16.2"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ht="16.2"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ht="16.2"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ht="16.2"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ht="16.2"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ht="16.2"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ht="16.2"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ht="16.2"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ht="16.2"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ht="16.2"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ht="16.2"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ht="16.2"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ht="16.2"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ht="16.2"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ht="16.2"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ht="16.2"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ht="16.2"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ht="16.2"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ht="16.2"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ht="16.2"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ht="16.2"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ht="16.2"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ht="16.2"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ht="16.2"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ht="16.2"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ht="16.2"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ht="16.2"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ht="16.2"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ht="16.2"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ht="16.2"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ht="16.2"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ht="16.2"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ht="16.2"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ht="16.2"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ht="16.2"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ht="16.2"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ht="16.2"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ht="16.2"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ht="16.2"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ht="16.2"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ht="16.2"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ht="16.2"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ht="16.2"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ht="16.2"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ht="16.2"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ht="16.2"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ht="16.2"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ht="16.2"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ht="16.2"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ht="16.2"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ht="16.2"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ht="16.2"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ht="16.2"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ht="16.2"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ht="16.2"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ht="16.2"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ht="16.2"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ht="16.2"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ht="16.2"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ht="16.2"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ht="16.2"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ht="16.2"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ht="16.2"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ht="16.2"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ht="16.2"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ht="16.2"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ht="16.2"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ht="16.2"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ht="16.2"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ht="16.2"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ht="16.2"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ht="16.2"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ht="16.2"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ht="16.2"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ht="16.2"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ht="16.2"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ht="16.2"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ht="16.2"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ht="16.2"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ht="16.2"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ht="16.2"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ht="16.2"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ht="16.2"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ht="16.2"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ht="16.2"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ht="16.2"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ht="16.2"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ht="16.2"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ht="16.2"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ht="16.2"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ht="16.2"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ht="16.2"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ht="16.2"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ht="16.2"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ht="16.2"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ht="16.2"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ht="16.2"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ht="16.2"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ht="16.2"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ht="16.2"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ht="16.2"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ht="16.2"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ht="16.2"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ht="16.2"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ht="16.2"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ht="16.2"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ht="16.2"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ht="16.2"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ht="16.2"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ht="16.2"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ht="16.2"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ht="16.2"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ht="16.2"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ht="16.2"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ht="16.2"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ht="16.2"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ht="16.2"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ht="16.2"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ht="16.2"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ht="16.2"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ht="16.2"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ht="16.2"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ht="16.2"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ht="16.2"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ht="16.2"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ht="16.2"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ht="16.2"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ht="16.2"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ht="16.2"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ht="16.2"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ht="16.2"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ht="16.2"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ht="16.2"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ht="16.2"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ht="16.2"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ht="16.2"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ht="16.2"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ht="16.2"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ht="16.2"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ht="16.2"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ht="16.2"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ht="16.2"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ht="16.2"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ht="16.2"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ht="16.2"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ht="16.2"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ht="16.2"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ht="16.2"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ht="16.2"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ht="16.2"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ht="16.2"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ht="16.2"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ht="16.2"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ht="16.2"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ht="16.2"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ht="16.2"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ht="16.2"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ht="16.2"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ht="16.2"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ht="16.2"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ht="16.2"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ht="16.2"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ht="16.2"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ht="16.2"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ht="16.2"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ht="16.2"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ht="16.2"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ht="16.2"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ht="16.2"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ht="16.2"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ht="16.2"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ht="16.2"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ht="16.2"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ht="16.2"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ht="16.2"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ht="16.2"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ht="16.2"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ht="16.2"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ht="16.2"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ht="16.2"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ht="16.2"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ht="16.2"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ht="16.2"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ht="16.2"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ht="16.2"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ht="16.2"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ht="16.2"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ht="16.2"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ht="16.2"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ht="16.2"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ht="16.2"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ht="16.2"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ht="16.2"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ht="16.2"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ht="16.2"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ht="16.2"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ht="16.2"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ht="16.2"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ht="16.2"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ht="16.2"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ht="16.2"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ht="16.2"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ht="16.2"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ht="16.2"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ht="16.2"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ht="16.2"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ht="16.2"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ht="16.2"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ht="16.2"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ht="16.2"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ht="16.2"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ht="16.2"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ht="16.2"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ht="16.2"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ht="16.2"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ht="16.2"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ht="16.2"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ht="16.2"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ht="16.2"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ht="16.2"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ht="16.2"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ht="16.2"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ht="16.2"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ht="16.2"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ht="16.2"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ht="16.2"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ht="16.2"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ht="16.2"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ht="16.2"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ht="16.2"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ht="16.2"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ht="16.2"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ht="16.2"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ht="16.2"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ht="16.2"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ht="16.2"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ht="16.2"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ht="16.2"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ht="16.2"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ht="16.2"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ht="16.2"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ht="16.2"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ht="16.2"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ht="16.2"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ht="16.2"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ht="16.2"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ht="16.2"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ht="16.2"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ht="16.2"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ht="16.2"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ht="16.2"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ht="16.2"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ht="16.2"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ht="16.2"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ht="16.2"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ht="16.2"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ht="16.2"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ht="16.2"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ht="16.2"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ht="16.2"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ht="16.2"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ht="16.2"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ht="16.2"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ht="16.2"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ht="16.2"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ht="16.2"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ht="16.2"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ht="16.2"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ht="16.2"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ht="16.2"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ht="16.2"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ht="16.2"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ht="16.2"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ht="16.2"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ht="16.2"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ht="16.2"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ht="16.2"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ht="16.2"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ht="16.2"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ht="16.2"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ht="16.2"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ht="16.2"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ht="16.2"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ht="16.2"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ht="16.2"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ht="16.2"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ht="16.2"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ht="16.2"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ht="16.2"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ht="16.2"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ht="16.2"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ht="16.2"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ht="16.2"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ht="16.2"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ht="16.2"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ht="16.2"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ht="16.2"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ht="16.2"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ht="16.2"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ht="16.2"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ht="16.2"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ht="16.2"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ht="16.2"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ht="16.2"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ht="16.2"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ht="16.2"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ht="16.2"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ht="16.2"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ht="16.2"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ht="16.2"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ht="16.2"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ht="16.2"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ht="16.2"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ht="16.2"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ht="16.2"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ht="16.2"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ht="16.2"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ht="16.2"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ht="16.2"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ht="16.2"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ht="16.2"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ht="16.2"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ht="16.2"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ht="16.2"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ht="16.2"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ht="16.2"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ht="16.2"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ht="16.2"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ht="16.2"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ht="16.2"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ht="16.2"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ht="16.2"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ht="16.2"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ht="16.2"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ht="16.2"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ht="16.2"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ht="16.2"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ht="16.2"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ht="16.2"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ht="16.2"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ht="16.2"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ht="16.2"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ht="16.2"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ht="16.2"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ht="16.2"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ht="16.2"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ht="16.2"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ht="16.2"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ht="16.2"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ht="16.2"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ht="16.2"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ht="16.2"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ht="16.2"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ht="16.2"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ht="16.2"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ht="16.2"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ht="16.2"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ht="16.2"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ht="16.2"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ht="16.2"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ht="16.2"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ht="16.2"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ht="16.2"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ht="16.2"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ht="16.2"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ht="16.2"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ht="16.2"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ht="16.2"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ht="16.2"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ht="16.2"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ht="16.2"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ht="16.2"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ht="16.2"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ht="16.2"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ht="16.2"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ht="16.2"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ht="16.2"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ht="16.2"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ht="16.2"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ht="16.2"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ht="16.2"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ht="16.2"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ht="16.2"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ht="16.2"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ht="16.2"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ht="16.2"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ht="16.2"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ht="16.2"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ht="16.2"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ht="16.2"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ht="16.2"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ht="16.2"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ht="16.2"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ht="16.2"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ht="16.2"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ht="16.2"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ht="16.2"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ht="16.2"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ht="16.2"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ht="16.2"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ht="16.2"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ht="16.2"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ht="16.2"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ht="16.2"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ht="16.2"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ht="16.2"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ht="16.2"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ht="16.2"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ht="16.2"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ht="16.2"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ht="16.2"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ht="16.2"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ht="16.2"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ht="16.2"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ht="16.2"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ht="16.2"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ht="16.2"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ht="16.2"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ht="16.2"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ht="16.2"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ht="16.2"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ht="16.2"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ht="16.2"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ht="16.2"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ht="16.2"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ht="16.2"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ht="16.2"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ht="16.2"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ht="16.2"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ht="16.2"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ht="16.2"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ht="16.2"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ht="16.2"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ht="16.2"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ht="16.2"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ht="16.2"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ht="16.2"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ht="16.2"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ht="16.2"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ht="16.2"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ht="16.2"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ht="16.2"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ht="16.2"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ht="16.2"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ht="16.2"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ht="16.2"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ht="16.2"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ht="16.2"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ht="16.2"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ht="16.2"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ht="16.2"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ht="16.2"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ht="16.2"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ht="16.2"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ht="16.2"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ht="16.2"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ht="16.2"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ht="16.2"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ht="16.2"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ht="16.2"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ht="16.2"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ht="16.2"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ht="16.2"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ht="16.2"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ht="16.2"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ht="16.2"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ht="16.2"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ht="16.2"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ht="16.2"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ht="16.2"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ht="16.2"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ht="16.2"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ht="16.2"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ht="16.2"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ht="16.2"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ht="16.2"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ht="16.2"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ht="16.2"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ht="16.2"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ht="16.2"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ht="16.2"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ht="16.2"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ht="16.2"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ht="16.2"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ht="16.2"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ht="16.2"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ht="16.2"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ht="16.2"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ht="16.2"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ht="16.2"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ht="16.2"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ht="16.2"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ht="16.2"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ht="16.2"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ht="16.2"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ht="16.2"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ht="16.2"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ht="16.2"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ht="16.2"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ht="16.2"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ht="16.2"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ht="16.2"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ht="16.2"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ht="16.2"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ht="16.2"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ht="16.2"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ht="16.2"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ht="16.2"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ht="16.2"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ht="16.2"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ht="16.2"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ht="16.2"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ht="16.2"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ht="16.2"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ht="16.2"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ht="16.2"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ht="16.2"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ht="16.2"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ht="16.2"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ht="16.2"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ht="16.2"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ht="16.2"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ht="16.2"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ht="16.2"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ht="16.2"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ht="16.2"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ht="16.2"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ht="16.2"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ht="16.2"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ht="16.2"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ht="16.2"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ht="16.2"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ht="16.2"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ht="16.2"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ht="16.2"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ht="16.2"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ht="16.2"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ht="16.2"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ht="16.2"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ht="16.2"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ht="16.2"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ht="16.2"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ht="16.2"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ht="16.2"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ht="16.2"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ht="16.2"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ht="16.2"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ht="16.2"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ht="16.2"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ht="16.2"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ht="16.2"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ht="16.2"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ht="16.2"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ht="16.2"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ht="16.2"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ht="16.2"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ht="16.2"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ht="16.2"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ht="16.2"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ht="16.2"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ht="16.2"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ht="16.2"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ht="16.2"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ht="16.2"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ht="16.2"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ht="16.2"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ht="16.2"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ht="16.2"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ht="16.2"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ht="16.2"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ht="16.2"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ht="16.2"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ht="16.2"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ht="16.2"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ht="16.2"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ht="16.2"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ht="16.2"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ht="16.2"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ht="16.2"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ht="16.2"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ht="16.2"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ht="16.2"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ht="16.2"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ht="16.2"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ht="16.2"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ht="16.2"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ht="16.2"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ht="16.2"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ht="16.2"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ht="16.2"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ht="16.2"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ht="16.2"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ht="16.2"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ht="16.2"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ht="16.2"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ht="16.2"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ht="16.2"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ht="16.2"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ht="16.2"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ht="16.2"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ht="16.2"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ht="16.2"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ht="16.2"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ht="16.2"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ht="16.2"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ht="16.2"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ht="16.2"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ht="16.2"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ht="16.2"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ht="16.2"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ht="16.2"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ht="16.2"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ht="16.2"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ht="16.2"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ht="16.2"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ht="16.2"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ht="16.2"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ht="16.2"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ht="16.2"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ht="16.2"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ht="16.2"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ht="16.2"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ht="16.2"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ht="16.2"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ht="16.2"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ht="16.2"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ht="16.2"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ht="16.2"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ht="16.2"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ht="16.2"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ht="16.2"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ht="16.2"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ht="16.2"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ht="16.2"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ht="16.2"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ht="16.2"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ht="16.2"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ht="16.2"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ht="16.2"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ht="16.2"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ht="16.2"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ht="16.2"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ht="16.2"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ht="16.2"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ht="16.2"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ht="16.2"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ht="16.2"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ht="16.2"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ht="16.2"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ht="16.2"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ht="16.2"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ht="16.2"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ht="16.2"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ht="16.2"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ht="16.2"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ht="16.2"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ht="16.2"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ht="16.2"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ht="16.2"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ht="16.2"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ht="16.2"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ht="16.2"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ht="16.2"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ht="16.2"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ht="16.2"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ht="16.2"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ht="16.2"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ht="16.2"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ht="16.2"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ht="16.2"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ht="16.2"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ht="16.2"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ht="16.2"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ht="16.2"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ht="16.2"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ht="16.2"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ht="16.2"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ht="16.2"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ht="16.2"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ht="16.2"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ht="16.2"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ht="16.2"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ht="16.2"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ht="16.2"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ht="16.2"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ht="16.2"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ht="16.2"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ht="16.2"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ht="16.2"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ht="16.2"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ht="16.2"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ht="16.2"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ht="16.2"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ht="16.2"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ht="16.2"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ht="16.2"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ht="16.2"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ht="16.2"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ht="16.2"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ht="16.2"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ht="16.2"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ht="16.2"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ht="16.2"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ht="16.2"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ht="16.2"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ht="16.2"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ht="16.2"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ht="16.2"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ht="16.2"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ht="16.2"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ht="16.2"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ht="16.2"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ht="16.2"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ht="16.2"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ht="16.2"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ht="16.2"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ht="16.2"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ht="16.2"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ht="16.2"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ht="16.2"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ht="16.2"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ht="16.2"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ht="16.2"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ht="16.2"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ht="16.2"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ht="16.2"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ht="16.2"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ht="16.2"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ht="16.2"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ht="16.2"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ht="16.2"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ht="16.2"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ht="16.2"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ht="16.2"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ht="16.2"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ht="16.2"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ht="16.2"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ht="16.2"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ht="16.2"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ht="16.2"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ht="16.2"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ht="16.2"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ht="16.2"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ht="16.2"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ht="16.2"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ht="16.2"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ht="16.2"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ht="16.2"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ht="16.2"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ht="16.2"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ht="16.2"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ht="16.2"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ht="16.2"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ht="16.2"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ht="16.2"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ht="16.2"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ht="16.2"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ht="16.2"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ht="16.2"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ht="16.2"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ht="16.2"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ht="16.2"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ht="16.2"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ht="16.2"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ht="16.2"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ht="16.2"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ht="16.2"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ht="16.2"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ht="16.2"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ht="16.2"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ht="16.2"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ht="16.2"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ht="16.2"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ht="16.2"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ht="16.2"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ht="16.2"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ht="16.2"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ht="16.2"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ht="16.2"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ht="16.2"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ht="16.2"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ht="16.2"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ht="16.2"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ht="16.2"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ht="16.2"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ht="16.2"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ht="16.2"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ht="16.2"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ht="16.2"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ht="16.2"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ht="16.2"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ht="16.2"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ht="16.2"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ht="16.2"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ht="16.2"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ht="16.2"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ht="16.2"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ht="16.2"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ht="16.2"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ht="16.2"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ht="16.2"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ht="16.2"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ht="16.2"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ht="16.2"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ht="16.2"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ht="16.2"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ht="16.2"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ht="16.2"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ht="16.2"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ht="16.2"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ht="16.2"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ht="16.2"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ht="16.2"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ht="16.2"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ht="16.2"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ht="16.2"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ht="16.2"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ht="16.2"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ht="16.2"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ht="16.2"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ht="16.2"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ht="16.2"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ht="16.2"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ht="16.2"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ht="16.2"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ht="16.2"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ht="16.2"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ht="16.2"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ht="16.2"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ht="16.2"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ht="16.2"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ht="16.2"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ht="16.2"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ht="16.2"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ht="16.2"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ht="16.2"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ht="16.2"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ht="16.2"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ht="16.2"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ht="16.2"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ht="16.2"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ht="16.2"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ht="16.2"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ht="16.2"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ht="16.2"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ht="16.2"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ht="16.2"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ht="16.2"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ht="16.2"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ht="16.2"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ht="16.2"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ht="16.2"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ht="16.2"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ht="16.2"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ht="16.2"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ht="16.2"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ht="16.2"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ht="16.2"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ht="16.2"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ht="16.2"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ht="16.2"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ht="16.2"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ht="16.2"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ht="16.2"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ht="16.2"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ht="16.2"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ht="16.2"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ht="16.2"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ht="16.2"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ht="16.2"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ht="16.2"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ht="16.2"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ht="16.2"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ht="16.2"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ht="16.2"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ht="16.2"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ht="16.2"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ht="16.2"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ht="16.2"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ht="16.2"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ht="16.2"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ht="16.2"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ht="16.2"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ht="16.2"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ht="16.2"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ht="16.2"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ht="16.2"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ht="16.2"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ht="16.2"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ht="16.2"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ht="16.2"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ht="16.2"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ht="16.2"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ht="16.2"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ht="16.2"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ht="16.2"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ht="16.2"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ht="16.2"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ht="16.2"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ht="16.2"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ht="16.2"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ht="16.2"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ht="16.2"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ht="16.2"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ht="16.2"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ht="16.2"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ht="16.2"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ht="16.2"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ht="16.2"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ht="16.2"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ht="16.2"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ht="16.2"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ht="16.2"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ht="16.2"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ht="16.2"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ht="16.2"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ht="16.2"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ht="16.2"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ht="16.2"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ht="16.2"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ht="16.2"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ht="16.2"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ht="16.2"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ht="16.2"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ht="16.2"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ht="16.2"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ht="16.2"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ht="16.2"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ht="16.2"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ht="16.2"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ht="16.2"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ht="16.2"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ht="16.2"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ht="16.2"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ht="16.2"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ht="16.2"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ht="16.2"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ht="16.2"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ht="16.2"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ht="16.2"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ht="16.2"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ht="16.2"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ht="16.2"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ht="16.2"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ht="16.2"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ht="16.2"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ht="16.2"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ht="16.2"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ht="16.2"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ht="16.2"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ht="16.2"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ht="16.2"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ht="16.2"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ht="16.2"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ht="16.2"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ht="16.2"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ht="16.2"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ht="16.2"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ht="16.2"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ht="16.2"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ht="16.2"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ht="16.2"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ht="16.2"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ht="16.2"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ht="16.2"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ht="16.2"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ht="16.2"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ht="16.2"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ht="16.2"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ht="16.2"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ht="16.2"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ht="16.2"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ht="16.2"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ht="16.2"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ht="16.2"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ht="16.2"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ht="16.2"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ht="16.2"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ht="16.2"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ht="16.2"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ht="16.2"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ht="16.2"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ht="16.2"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ht="16.2"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ht="16.2"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ht="16.2"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ht="16.2"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ht="16.2"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ht="16.2"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ht="16.2"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ht="16.2"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ht="16.2"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ht="16.2"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ht="16.2"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ht="16.2"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ht="16.2"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ht="16.2"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ht="16.2"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ht="16.2"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ht="16.2"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ht="16.2"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ht="16.2"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ht="16.2"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ht="16.2"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ht="16.2"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ht="16.2"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ht="16.2"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ht="16.2"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ht="16.2"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ht="16.2"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ht="16.2"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ht="16.2"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ht="16.2"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ht="16.2"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ht="16.2"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ht="16.2"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ht="16.2"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ht="16.2"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ht="16.2"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ht="16.2"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ht="16.2"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ht="16.2"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ht="16.2"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ht="16.2"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ht="16.2"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ht="16.2"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ht="16.2"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ht="16.2"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ht="16.2"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ht="16.2"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ht="16.2"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ht="16.2"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ht="16.2"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ht="16.2"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ht="16.2"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ht="16.2"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ht="16.2"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ht="16.2"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ht="16.2"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ht="16.2"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ht="16.2"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ht="16.2"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ht="16.2"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ht="16.2"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ht="16.2"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ht="16.2"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ht="16.2"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ht="16.2"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ht="16.2"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ht="16.2"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ht="16.2"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ht="16.2"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ht="16.2"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ht="16.2"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ht="16.2"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ht="16.2"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ht="16.2"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ht="16.2"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ht="16.2"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ht="16.2"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ht="16.2"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ht="16.2"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ht="16.2"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ht="16.2"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ht="16.2"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ht="16.2"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ht="16.2"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ht="16.2"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ht="16.2"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ht="16.2"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ht="16.2"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ht="16.2"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ht="16.2"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ht="16.2"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ht="16.2"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ht="16.2"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ht="16.2"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ht="16.2"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ht="16.2"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ht="16.2"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ht="16.2"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ht="16.2"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ht="16.2"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ht="16.2"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ht="16.2"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ht="16.2"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ht="16.2"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ht="16.2"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ht="16.2"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ht="16.2"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ht="16.2"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ht="16.2"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ht="16.2"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ht="16.2"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ht="16.2"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ht="16.2"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ht="16.2"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ht="16.2"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ht="16.2"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ht="16.2"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ht="16.2"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ht="16.2"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ht="16.2"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ht="16.2"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ht="16.2"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ht="16.2"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ht="16.2"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ht="16.2"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ht="16.2"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ht="16.2"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ht="16.2"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ht="16.2"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ht="16.2"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ht="16.2"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ht="16.2"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ht="16.2"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ht="16.2"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ht="16.2"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ht="16.2"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ht="16.2"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ht="16.2"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ht="16.2"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ht="16.2"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ht="16.2"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ht="16.2"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ht="16.2"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ht="16.2"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ht="16.2"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ht="16.2"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ht="16.2"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ht="16.2"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ht="16.2"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ht="16.2"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ht="16.2"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ht="16.2"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ht="16.2"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ht="16.2"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ht="16.2"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ht="16.2"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ht="16.2"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ht="16.2"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ht="16.2"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ht="16.2"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ht="16.2"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ht="16.2"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ht="16.2"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ht="16.2"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ht="16.2"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ht="16.2"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ht="16.2"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ht="16.2"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ht="16.2"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ht="16.2"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ht="16.2"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ht="16.2"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ht="16.2"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ht="16.2"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ht="16.2"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ht="16.2"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ht="16.2"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ht="16.2"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ht="16.2"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ht="16.2"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ht="16.2"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ht="16.2"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ht="16.2"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ht="16.2"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ht="16.2"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ht="16.2"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ht="16.2"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ht="16.2"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ht="16.2"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ht="16.2"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ht="16.2"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ht="16.2"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ht="16.2"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ht="16.2"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ht="16.2"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ht="16.2"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ht="16.2"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ht="16.2"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ht="16.2"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ht="16.2"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ht="16.2"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ht="16.2"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ht="16.2"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ht="16.2"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ht="16.2"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ht="16.2"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ht="16.2"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ht="16.2"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ht="16.2"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ht="16.2"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ht="16.2"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ht="16.2"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ht="16.2"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ht="16.2"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ht="16.2"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ht="16.2"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ht="16.2"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ht="16.2"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ht="16.2"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ht="16.2"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ht="16.2"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ht="16.2"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ht="16.2"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ht="16.2"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ht="16.2"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ht="16.2"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ht="16.2"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ht="16.2"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ht="16.2"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ht="16.2"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ht="16.2"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ht="16.2"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ht="16.2"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ht="16.2"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ht="16.2"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ht="16.2"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ht="16.2"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ht="16.2"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ht="16.2"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ht="16.2"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ht="16.2"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ht="16.2"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ht="16.2"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ht="16.2"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ht="16.2"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ht="16.2"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ht="16.2"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ht="16.2"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ht="16.2"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ht="16.2"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ht="16.2"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ht="16.2"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ht="16.2"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ht="16.2"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ht="16.2"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ht="16.2"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ht="16.2"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ht="16.2"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ht="16.2"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ht="16.2"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ht="16.2"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ht="16.2"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ht="16.2"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ht="16.2"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ht="16.2"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ht="16.2"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ht="16.2"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ht="16.2"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ht="16.2"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ht="16.2"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ht="16.2"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ht="16.2"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ht="16.2"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ht="16.2"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ht="16.2"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ht="16.2"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ht="16.2"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ht="16.2"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ht="16.2"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ht="16.2"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ht="16.2"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ht="16.2"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ht="16.2"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ht="16.2"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ht="16.2"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ht="16.2"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ht="16.2"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ht="16.2"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ht="16.2"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ht="16.2"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ht="16.2"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ht="16.2"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ht="16.2"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ht="16.2"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ht="16.2"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ht="16.2"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ht="16.2"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ht="16.2"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ht="16.2"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ht="16.2"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ht="16.2"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ht="16.2"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ht="16.2"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ht="16.2"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ht="16.2"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ht="16.2"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ht="16.2"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ht="16.2"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ht="16.2"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ht="16.2"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ht="16.2"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ht="16.2"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ht="16.2"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ht="16.2"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ht="16.2"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ht="16.2"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ht="16.2"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ht="16.2"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ht="16.2"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ht="16.2"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ht="16.2"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ht="16.2"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ht="16.2"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ht="16.2"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ht="16.2"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ht="16.2"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ht="16.2"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ht="16.2"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ht="16.2"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ht="16.2"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ht="16.2"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ht="16.2"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ht="16.2"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ht="16.2"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ht="16.2"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ht="16.2"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ht="16.2"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ht="16.2"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ht="16.2"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ht="16.2"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ht="16.2"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ht="16.2"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ht="16.2"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ht="16.2"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ht="16.2"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ht="16.2"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ht="16.2"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ht="16.2"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ht="16.2"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ht="16.2"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ht="16.2"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ht="16.2"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ht="16.2"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ht="16.2"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ht="16.2"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ht="16.2"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ht="16.2"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ht="16.2"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ht="16.2"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ht="16.2"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ht="16.2"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ht="16.2"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ht="16.2"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ht="16.2"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ht="16.2"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ht="16.2"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ht="16.2"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ht="16.2"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ht="16.2"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ht="16.2"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ht="16.2"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ht="16.2"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ht="16.2"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ht="16.2"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ht="16.2"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ht="16.2"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ht="16.2"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ht="16.2"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ht="16.2"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ht="16.2"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ht="16.2"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ht="16.2"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ht="16.2"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ht="16.2"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ht="16.2"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ht="16.2"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ht="16.2"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ht="16.2"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ht="16.2"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ht="16.2"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ht="16.2"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ht="16.2"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ht="16.2"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ht="16.2"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ht="16.2"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ht="16.2"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ht="16.2"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ht="16.2"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ht="16.2"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ht="16.2"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ht="16.2"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ht="16.2"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ht="16.2"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ht="16.2"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ht="16.2"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ht="16.2"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ht="16.2"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ht="16.2"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ht="16.2"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ht="16.2"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ht="16.2"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ht="16.2"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ht="16.2"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ht="16.2"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ht="16.2"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ht="16.2"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ht="16.2"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ht="16.2"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ht="16.2"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ht="16.2"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ht="16.2"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ht="16.2"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ht="16.2"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ht="16.2"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ht="16.2"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ht="16.2"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ht="16.2"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ht="16.2"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ht="16.2"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ht="16.2" x14ac:dyDescent="0.35">
      <c r="A2702" s="26">
        <v>44882</v>
      </c>
      <c r="B2702" s="25">
        <v>6.61</v>
      </c>
      <c r="D2702" s="25">
        <v>5.98</v>
      </c>
    </row>
    <row r="2703" spans="1:17" ht="16.2" x14ac:dyDescent="0.35">
      <c r="A2703" s="28">
        <v>44888</v>
      </c>
      <c r="B2703" s="27">
        <v>6.58</v>
      </c>
      <c r="D2703" s="27">
        <v>5.9</v>
      </c>
    </row>
    <row r="2704" spans="1:17" ht="16.2" x14ac:dyDescent="0.35">
      <c r="A2704" s="30">
        <v>44896</v>
      </c>
      <c r="B2704" s="29">
        <v>6.49</v>
      </c>
      <c r="D2704" s="29">
        <v>5.76</v>
      </c>
    </row>
    <row r="2705" spans="1:4" ht="16.2" x14ac:dyDescent="0.35">
      <c r="A2705" s="32">
        <v>44903</v>
      </c>
      <c r="B2705" s="31">
        <v>6.33</v>
      </c>
      <c r="D2705" s="31">
        <v>5.67</v>
      </c>
    </row>
    <row r="2706" spans="1:4" ht="16.2" x14ac:dyDescent="0.35">
      <c r="A2706" s="34">
        <v>44910</v>
      </c>
      <c r="B2706" s="33">
        <v>6.31</v>
      </c>
      <c r="D2706" s="33">
        <v>5.54</v>
      </c>
    </row>
    <row r="2707" spans="1:4" ht="16.2" x14ac:dyDescent="0.35">
      <c r="A2707" s="36">
        <v>44917</v>
      </c>
      <c r="B2707" s="35">
        <v>6.27</v>
      </c>
      <c r="D2707" s="35">
        <v>5.69</v>
      </c>
    </row>
    <row r="2708" spans="1:4" ht="16.2" x14ac:dyDescent="0.35">
      <c r="A2708" s="38">
        <v>44924</v>
      </c>
      <c r="B2708" s="37">
        <v>6.42</v>
      </c>
      <c r="D2708" s="37">
        <v>5.68</v>
      </c>
    </row>
    <row r="2709" spans="1:4" ht="16.2" x14ac:dyDescent="0.35">
      <c r="A2709" s="40">
        <v>44931</v>
      </c>
      <c r="B2709" s="39">
        <v>6.48</v>
      </c>
      <c r="D2709" s="39">
        <v>5.73</v>
      </c>
    </row>
    <row r="2710" spans="1:4" ht="16.2" x14ac:dyDescent="0.35">
      <c r="A2710" s="42">
        <v>44938</v>
      </c>
      <c r="B2710" s="41">
        <v>6.33</v>
      </c>
      <c r="D2710" s="41">
        <v>5.52</v>
      </c>
    </row>
    <row r="2711" spans="1:4" ht="16.2" x14ac:dyDescent="0.35">
      <c r="A2711" s="44">
        <v>44945</v>
      </c>
      <c r="B2711" s="43">
        <v>6.15</v>
      </c>
      <c r="D2711" s="43">
        <v>5.28</v>
      </c>
    </row>
    <row r="2712" spans="1:4" ht="16.2" x14ac:dyDescent="0.35">
      <c r="A2712" s="46">
        <v>44952</v>
      </c>
      <c r="B2712" s="45">
        <v>6.13</v>
      </c>
      <c r="D2712" s="45">
        <v>5.17</v>
      </c>
    </row>
    <row r="2713" spans="1:4" ht="16.2" x14ac:dyDescent="0.35">
      <c r="A2713" s="48">
        <v>44959</v>
      </c>
      <c r="B2713" s="47">
        <v>6.09</v>
      </c>
      <c r="D2713" s="47">
        <v>5.14</v>
      </c>
    </row>
    <row r="2714" spans="1:4" ht="16.2" x14ac:dyDescent="0.35">
      <c r="A2714" s="50">
        <v>44966</v>
      </c>
      <c r="B2714" s="49">
        <v>6.12</v>
      </c>
      <c r="D2714" s="49">
        <v>5.25</v>
      </c>
    </row>
    <row r="2715" spans="1:4" ht="16.2" x14ac:dyDescent="0.35">
      <c r="A2715" s="52">
        <v>44973</v>
      </c>
      <c r="B2715" s="51">
        <v>6.32</v>
      </c>
      <c r="D2715" s="51">
        <v>5.51</v>
      </c>
    </row>
    <row r="2716" spans="1:4" ht="16.2" x14ac:dyDescent="0.35">
      <c r="A2716" s="54">
        <v>44980</v>
      </c>
      <c r="B2716" s="53">
        <v>6.5</v>
      </c>
      <c r="D2716" s="53">
        <v>5.76</v>
      </c>
    </row>
    <row r="2717" spans="1:4" ht="16.2" x14ac:dyDescent="0.35">
      <c r="A2717" s="56">
        <v>44987</v>
      </c>
      <c r="B2717" s="55">
        <v>6.65</v>
      </c>
      <c r="D2717" s="55">
        <v>5.89</v>
      </c>
    </row>
    <row r="2718" spans="1:4" ht="16.2" x14ac:dyDescent="0.35">
      <c r="A2718" s="58">
        <v>44994</v>
      </c>
      <c r="B2718" s="57">
        <v>6.73</v>
      </c>
      <c r="D2718" s="57">
        <v>5.95</v>
      </c>
    </row>
    <row r="2719" spans="1:4" ht="16.2" x14ac:dyDescent="0.35">
      <c r="A2719" s="60">
        <v>45001</v>
      </c>
      <c r="B2719" s="59">
        <v>6.6</v>
      </c>
      <c r="D2719" s="59">
        <v>5.9</v>
      </c>
    </row>
    <row r="2720" spans="1:4" ht="16.2" x14ac:dyDescent="0.35">
      <c r="A2720" s="62">
        <v>45008</v>
      </c>
      <c r="B2720" s="61">
        <v>6.42</v>
      </c>
      <c r="D2720" s="61">
        <v>5.68</v>
      </c>
    </row>
    <row r="2721" spans="1:4" ht="16.2" x14ac:dyDescent="0.35">
      <c r="A2721" s="64">
        <v>45015</v>
      </c>
      <c r="B2721" s="63">
        <v>6.32</v>
      </c>
      <c r="D2721" s="63">
        <v>5.56</v>
      </c>
    </row>
    <row r="2722" spans="1:4" ht="16.2" x14ac:dyDescent="0.35">
      <c r="A2722" s="66">
        <v>45022</v>
      </c>
      <c r="B2722" s="65">
        <v>6.28</v>
      </c>
      <c r="D2722" s="65">
        <v>5.64</v>
      </c>
    </row>
    <row r="2723" spans="1:4" ht="16.2" x14ac:dyDescent="0.35">
      <c r="A2723" s="68">
        <v>45029</v>
      </c>
      <c r="B2723" s="67">
        <v>6.27</v>
      </c>
      <c r="D2723" s="67">
        <v>5.54</v>
      </c>
    </row>
    <row r="2724" spans="1:4" ht="16.2" x14ac:dyDescent="0.35">
      <c r="A2724" s="70">
        <v>45036</v>
      </c>
      <c r="B2724" s="69">
        <v>6.39</v>
      </c>
      <c r="D2724" s="69">
        <v>5.76</v>
      </c>
    </row>
    <row r="2725" spans="1:4" ht="16.2" x14ac:dyDescent="0.35">
      <c r="A2725" s="72">
        <v>45043</v>
      </c>
      <c r="B2725" s="71">
        <v>6.43</v>
      </c>
      <c r="D2725" s="71">
        <v>5.71</v>
      </c>
    </row>
    <row r="2726" spans="1:4" ht="16.2" x14ac:dyDescent="0.35">
      <c r="A2726" s="74">
        <v>45050</v>
      </c>
      <c r="B2726" s="73">
        <v>6.39</v>
      </c>
      <c r="D2726" s="73">
        <v>5.76</v>
      </c>
    </row>
    <row r="2727" spans="1:4" ht="16.2" x14ac:dyDescent="0.35">
      <c r="A2727" s="76">
        <v>45057</v>
      </c>
      <c r="B2727" s="75">
        <v>6.35</v>
      </c>
      <c r="D2727" s="75">
        <v>5.75</v>
      </c>
    </row>
    <row r="2728" spans="1:4" ht="16.2" x14ac:dyDescent="0.35">
      <c r="A2728" s="78">
        <v>45064</v>
      </c>
      <c r="B2728" s="77">
        <v>6.39</v>
      </c>
      <c r="D2728" s="77">
        <v>5.75</v>
      </c>
    </row>
    <row r="2729" spans="1:4" ht="16.2" x14ac:dyDescent="0.35">
      <c r="A2729" s="80">
        <v>45071</v>
      </c>
      <c r="B2729" s="79">
        <v>6.57</v>
      </c>
      <c r="D2729" s="79">
        <v>5.97</v>
      </c>
    </row>
    <row r="2730" spans="1:4" ht="16.2" x14ac:dyDescent="0.35">
      <c r="A2730" s="82">
        <v>45078</v>
      </c>
      <c r="B2730" s="81">
        <v>6.79</v>
      </c>
      <c r="D2730" s="81">
        <v>6.18</v>
      </c>
    </row>
    <row r="2731" spans="1:4" ht="16.2" x14ac:dyDescent="0.35">
      <c r="A2731" s="84">
        <v>45085</v>
      </c>
      <c r="B2731" s="83">
        <v>6.71</v>
      </c>
      <c r="D2731" s="83">
        <v>6.07</v>
      </c>
    </row>
    <row r="2732" spans="1:4" ht="16.2" x14ac:dyDescent="0.35">
      <c r="A2732" s="86">
        <v>45092</v>
      </c>
      <c r="B2732" s="85">
        <v>6.69</v>
      </c>
      <c r="D2732" s="85">
        <v>6.1</v>
      </c>
    </row>
    <row r="2733" spans="1:4" ht="16.2" x14ac:dyDescent="0.35">
      <c r="A2733" s="88">
        <v>45099</v>
      </c>
      <c r="B2733" s="87">
        <v>6.67</v>
      </c>
      <c r="D2733" s="87">
        <v>6.03</v>
      </c>
    </row>
    <row r="2734" spans="1:4" ht="16.2" x14ac:dyDescent="0.35">
      <c r="A2734" s="90">
        <v>45106</v>
      </c>
      <c r="B2734" s="89">
        <v>6.71</v>
      </c>
      <c r="D2734" s="89">
        <v>6.06</v>
      </c>
    </row>
    <row r="2735" spans="1:4" ht="16.2" x14ac:dyDescent="0.35">
      <c r="A2735" s="92">
        <v>45113</v>
      </c>
      <c r="B2735" s="91">
        <v>6.81</v>
      </c>
      <c r="D2735" s="91">
        <v>6.24</v>
      </c>
    </row>
    <row r="2736" spans="1:4" ht="16.2" x14ac:dyDescent="0.35">
      <c r="A2736" s="94">
        <v>45120</v>
      </c>
      <c r="B2736" s="93">
        <v>6.96</v>
      </c>
      <c r="D2736" s="93">
        <v>6.3</v>
      </c>
    </row>
    <row r="2737" spans="1:4" ht="16.2" x14ac:dyDescent="0.35">
      <c r="A2737" s="96">
        <v>45127</v>
      </c>
      <c r="B2737" s="95">
        <v>6.78</v>
      </c>
      <c r="D2737" s="95">
        <v>6.06</v>
      </c>
    </row>
    <row r="2738" spans="1:4" ht="16.2" x14ac:dyDescent="0.35">
      <c r="A2738" s="98">
        <v>45134</v>
      </c>
      <c r="B2738" s="97">
        <v>6.81</v>
      </c>
      <c r="D2738" s="97">
        <v>6.11</v>
      </c>
    </row>
    <row r="2739" spans="1:4" ht="16.2" x14ac:dyDescent="0.35">
      <c r="A2739" s="100">
        <v>45141</v>
      </c>
      <c r="B2739" s="99">
        <v>6.9</v>
      </c>
      <c r="D2739" s="99">
        <v>6.25</v>
      </c>
    </row>
    <row r="2740" spans="1:4" ht="16.2" x14ac:dyDescent="0.35">
      <c r="A2740" s="102">
        <v>45148</v>
      </c>
      <c r="B2740" s="101">
        <v>6.96</v>
      </c>
      <c r="D2740" s="101">
        <v>6.34</v>
      </c>
    </row>
    <row r="2741" spans="1:4" ht="16.2" x14ac:dyDescent="0.35">
      <c r="A2741" s="104">
        <v>45155</v>
      </c>
      <c r="B2741" s="103">
        <v>7.09</v>
      </c>
      <c r="D2741" s="103">
        <v>6.46</v>
      </c>
    </row>
    <row r="2742" spans="1:4" ht="16.2" x14ac:dyDescent="0.35">
      <c r="A2742" s="106">
        <v>45162</v>
      </c>
      <c r="B2742" s="105">
        <v>7.23</v>
      </c>
      <c r="D2742" s="105">
        <v>6.55</v>
      </c>
    </row>
    <row r="2743" spans="1:4" ht="16.2" x14ac:dyDescent="0.35">
      <c r="A2743" s="108">
        <v>45169</v>
      </c>
      <c r="B2743" s="107">
        <v>7.18</v>
      </c>
      <c r="D2743" s="107">
        <v>6.55</v>
      </c>
    </row>
    <row r="2744" spans="1:4" ht="16.2" x14ac:dyDescent="0.35">
      <c r="A2744" s="110">
        <v>45176</v>
      </c>
      <c r="B2744" s="109">
        <v>7.12</v>
      </c>
      <c r="D2744" s="109">
        <v>6.52</v>
      </c>
    </row>
    <row r="2745" spans="1:4" ht="16.2" x14ac:dyDescent="0.35">
      <c r="A2745" s="112">
        <v>45183</v>
      </c>
      <c r="B2745" s="111">
        <v>7.18</v>
      </c>
      <c r="D2745" s="111">
        <v>6.51</v>
      </c>
    </row>
    <row r="2746" spans="1:4" ht="16.2" x14ac:dyDescent="0.35">
      <c r="A2746" s="114">
        <v>45190</v>
      </c>
      <c r="B2746" s="113">
        <v>7.19</v>
      </c>
      <c r="D2746" s="113">
        <v>6.54</v>
      </c>
    </row>
    <row r="2747" spans="1:4" ht="16.2" x14ac:dyDescent="0.35">
      <c r="A2747" s="116">
        <v>45197</v>
      </c>
      <c r="B2747" s="115">
        <v>7.31</v>
      </c>
      <c r="D2747" s="115">
        <v>6.72</v>
      </c>
    </row>
    <row r="2748" spans="1:4" ht="16.2" x14ac:dyDescent="0.35">
      <c r="A2748" s="118">
        <v>45204</v>
      </c>
      <c r="B2748" s="117">
        <v>7.49</v>
      </c>
      <c r="D2748" s="117">
        <v>6.78</v>
      </c>
    </row>
    <row r="2749" spans="1:4" ht="16.2" x14ac:dyDescent="0.35">
      <c r="A2749" s="120">
        <v>45211</v>
      </c>
      <c r="B2749" s="119">
        <v>7.57</v>
      </c>
      <c r="D2749" s="119">
        <v>6.89</v>
      </c>
    </row>
    <row r="2750" spans="1:4" ht="16.2" x14ac:dyDescent="0.35">
      <c r="A2750" s="122">
        <v>45218</v>
      </c>
      <c r="B2750" s="121">
        <v>7.63</v>
      </c>
      <c r="D2750" s="121">
        <v>6.92</v>
      </c>
    </row>
    <row r="2751" spans="1:4" ht="16.2" x14ac:dyDescent="0.35">
      <c r="A2751" s="124">
        <v>45225</v>
      </c>
      <c r="B2751" s="123">
        <v>7.79</v>
      </c>
      <c r="D2751" s="123">
        <v>7.03</v>
      </c>
    </row>
    <row r="2752" spans="1:4" ht="16.2" x14ac:dyDescent="0.35">
      <c r="A2752" s="126">
        <v>45232</v>
      </c>
      <c r="B2752" s="125">
        <v>7.76</v>
      </c>
      <c r="D2752" s="125">
        <v>7.03</v>
      </c>
    </row>
    <row r="2753" spans="1:4" ht="16.2" x14ac:dyDescent="0.35">
      <c r="A2753" s="128">
        <v>45239</v>
      </c>
      <c r="B2753" s="127">
        <v>7.5</v>
      </c>
      <c r="D2753" s="127">
        <v>6.81</v>
      </c>
    </row>
    <row r="2754" spans="1:4" ht="16.2" x14ac:dyDescent="0.35">
      <c r="A2754" s="130">
        <v>45246</v>
      </c>
      <c r="B2754" s="129">
        <v>7.44</v>
      </c>
      <c r="D2754" s="129">
        <v>6.76</v>
      </c>
    </row>
    <row r="2755" spans="1:4" ht="16.2" x14ac:dyDescent="0.35">
      <c r="A2755" s="132">
        <v>45252</v>
      </c>
      <c r="B2755" s="131">
        <v>7.29</v>
      </c>
      <c r="D2755" s="131">
        <v>6.67</v>
      </c>
    </row>
    <row r="2756" spans="1:4" ht="16.2" x14ac:dyDescent="0.35">
      <c r="A2756" s="134">
        <v>45260</v>
      </c>
      <c r="B2756" s="133">
        <v>7.22</v>
      </c>
      <c r="D2756" s="133">
        <v>6.56</v>
      </c>
    </row>
    <row r="2757" spans="1:4" ht="16.2" x14ac:dyDescent="0.35">
      <c r="A2757" s="136">
        <v>45267</v>
      </c>
      <c r="B2757" s="135">
        <v>7.03</v>
      </c>
      <c r="D2757" s="135">
        <v>6.29</v>
      </c>
    </row>
    <row r="2758" spans="1:4" ht="16.2" x14ac:dyDescent="0.35">
      <c r="A2758" s="138">
        <v>45274</v>
      </c>
      <c r="B2758" s="137">
        <v>6.95</v>
      </c>
      <c r="D2758" s="137">
        <v>6.38</v>
      </c>
    </row>
    <row r="2759" spans="1:4" ht="16.2" x14ac:dyDescent="0.35">
      <c r="A2759" s="140">
        <v>45281</v>
      </c>
      <c r="B2759" s="139">
        <v>6.67</v>
      </c>
      <c r="D2759" s="139">
        <v>5.95</v>
      </c>
    </row>
    <row r="2760" spans="1:4" ht="16.2" x14ac:dyDescent="0.35">
      <c r="A2760" s="142">
        <v>45288</v>
      </c>
      <c r="B2760" s="141">
        <v>6.61</v>
      </c>
      <c r="D2760" s="141">
        <v>5.93</v>
      </c>
    </row>
    <row r="2761" spans="1:4" ht="16.2" x14ac:dyDescent="0.35">
      <c r="A2761" s="144">
        <v>45295</v>
      </c>
      <c r="B2761" s="143">
        <v>6.62</v>
      </c>
      <c r="D2761" s="143">
        <v>5.89</v>
      </c>
    </row>
    <row r="2762" spans="1:4" ht="16.2" x14ac:dyDescent="0.35">
      <c r="A2762" s="146">
        <v>45302</v>
      </c>
      <c r="B2762" s="145">
        <v>6.66</v>
      </c>
      <c r="D2762" s="145">
        <v>5.87</v>
      </c>
    </row>
    <row r="2763" spans="1:4" ht="16.2" x14ac:dyDescent="0.35">
      <c r="A2763" s="148">
        <v>45309</v>
      </c>
      <c r="B2763" s="147">
        <v>6.6</v>
      </c>
      <c r="D2763" s="147">
        <v>5.76</v>
      </c>
    </row>
    <row r="2764" spans="1:4" ht="16.2" x14ac:dyDescent="0.35">
      <c r="A2764" s="150">
        <v>45316</v>
      </c>
      <c r="B2764" s="149">
        <v>6.69</v>
      </c>
      <c r="D2764" s="149">
        <v>5.96</v>
      </c>
    </row>
    <row r="2765" spans="1:4" ht="16.2" x14ac:dyDescent="0.35">
      <c r="A2765" s="152">
        <v>45323</v>
      </c>
      <c r="B2765" s="151">
        <v>6.63</v>
      </c>
      <c r="D2765" s="151">
        <v>5.94</v>
      </c>
    </row>
    <row r="2766" spans="1:4" ht="16.2" x14ac:dyDescent="0.35">
      <c r="A2766" s="154">
        <v>45330</v>
      </c>
      <c r="B2766" s="153">
        <v>6.64</v>
      </c>
      <c r="D2766" s="153">
        <v>5.9</v>
      </c>
    </row>
    <row r="2767" spans="1:4" ht="16.2" x14ac:dyDescent="0.35">
      <c r="A2767" s="156">
        <v>45337</v>
      </c>
      <c r="B2767" s="155">
        <v>6.77</v>
      </c>
      <c r="D2767" s="155">
        <v>6.12</v>
      </c>
    </row>
    <row r="2768" spans="1:4" ht="16.2" x14ac:dyDescent="0.35">
      <c r="A2768" s="158">
        <v>45344</v>
      </c>
      <c r="B2768" s="157">
        <v>6.9</v>
      </c>
      <c r="D2768" s="157">
        <v>6.29</v>
      </c>
    </row>
    <row r="2769" spans="1:4" ht="16.2" x14ac:dyDescent="0.35">
      <c r="A2769" s="160">
        <v>45351</v>
      </c>
      <c r="B2769" s="159">
        <v>6.94</v>
      </c>
      <c r="D2769" s="159">
        <v>6.26</v>
      </c>
    </row>
    <row r="2770" spans="1:4" ht="16.2" x14ac:dyDescent="0.35">
      <c r="A2770" s="162">
        <v>45358</v>
      </c>
      <c r="B2770" s="161">
        <v>6.88</v>
      </c>
      <c r="D2770" s="161">
        <v>6.22</v>
      </c>
    </row>
    <row r="2771" spans="1:4" ht="16.2" x14ac:dyDescent="0.35">
      <c r="A2771" s="164">
        <v>45365</v>
      </c>
      <c r="B2771" s="163">
        <v>6.74</v>
      </c>
      <c r="D2771" s="163">
        <v>6.16</v>
      </c>
    </row>
    <row r="2772" spans="1:4" ht="16.2" x14ac:dyDescent="0.35">
      <c r="A2772" s="166">
        <v>45372</v>
      </c>
      <c r="B2772" s="165">
        <v>6.87</v>
      </c>
      <c r="D2772" s="165">
        <v>6.21</v>
      </c>
    </row>
    <row r="2773" spans="1:4" ht="16.2" x14ac:dyDescent="0.35">
      <c r="A2773" s="168">
        <v>45379</v>
      </c>
      <c r="B2773" s="167">
        <v>6.79</v>
      </c>
      <c r="D2773" s="167">
        <v>6.11</v>
      </c>
    </row>
    <row r="2774" spans="1:4" ht="16.2" x14ac:dyDescent="0.35">
      <c r="A2774" s="170">
        <v>45386</v>
      </c>
      <c r="B2774" s="169">
        <v>6.82</v>
      </c>
      <c r="D2774" s="169">
        <v>6.06</v>
      </c>
    </row>
    <row r="2775" spans="1:4" ht="16.2" x14ac:dyDescent="0.35">
      <c r="A2775" s="172">
        <v>45393</v>
      </c>
      <c r="B2775" s="171">
        <v>6.88</v>
      </c>
      <c r="D2775" s="171">
        <v>6.16</v>
      </c>
    </row>
    <row r="2776" spans="1:4" ht="16.2" x14ac:dyDescent="0.35">
      <c r="A2776" s="174">
        <v>45400</v>
      </c>
      <c r="B2776" s="173">
        <v>7.1</v>
      </c>
      <c r="D2776" s="173">
        <v>6.39</v>
      </c>
    </row>
    <row r="2777" spans="1:4" ht="16.2" x14ac:dyDescent="0.35">
      <c r="A2777" s="176">
        <v>45407</v>
      </c>
      <c r="B2777" s="175">
        <v>7.17</v>
      </c>
      <c r="D2777" s="175">
        <v>6.44</v>
      </c>
    </row>
    <row r="2778" spans="1:4" ht="16.2" x14ac:dyDescent="0.35">
      <c r="A2778" s="178">
        <v>45414</v>
      </c>
      <c r="B2778" s="177">
        <v>7.22</v>
      </c>
      <c r="D2778" s="177">
        <v>6.47</v>
      </c>
    </row>
    <row r="2779" spans="1:4" ht="16.2" x14ac:dyDescent="0.35">
      <c r="A2779" s="180">
        <v>45421</v>
      </c>
      <c r="B2779" s="179">
        <v>7.09</v>
      </c>
      <c r="D2779" s="179">
        <v>6.38</v>
      </c>
    </row>
    <row r="2780" spans="1:4" ht="16.2" x14ac:dyDescent="0.35">
      <c r="A2780" s="182">
        <v>45428</v>
      </c>
      <c r="B2780" s="181">
        <v>7.02</v>
      </c>
      <c r="D2780" s="181">
        <v>6.28</v>
      </c>
    </row>
    <row r="2781" spans="1:4" ht="16.2" x14ac:dyDescent="0.35">
      <c r="A2781" s="184">
        <v>45435</v>
      </c>
      <c r="B2781" s="183">
        <v>6.94</v>
      </c>
      <c r="D2781" s="183">
        <v>6.24</v>
      </c>
    </row>
    <row r="2782" spans="1:4" ht="16.2" x14ac:dyDescent="0.35">
      <c r="A2782" s="186">
        <v>45442</v>
      </c>
      <c r="B2782" s="185">
        <v>7.03</v>
      </c>
      <c r="D2782" s="185">
        <v>6.36</v>
      </c>
    </row>
    <row r="2783" spans="1:4" ht="16.2" x14ac:dyDescent="0.35">
      <c r="A2783" s="188">
        <v>45449</v>
      </c>
      <c r="B2783" s="187">
        <v>6.99</v>
      </c>
      <c r="D2783" s="187">
        <v>6.29</v>
      </c>
    </row>
    <row r="2784" spans="1:4" ht="16.2" x14ac:dyDescent="0.35">
      <c r="A2784" s="190">
        <v>45456</v>
      </c>
      <c r="B2784" s="189">
        <v>6.95</v>
      </c>
      <c r="D2784" s="189">
        <v>6.17</v>
      </c>
    </row>
    <row r="2785" spans="1:4" ht="16.2" x14ac:dyDescent="0.35">
      <c r="A2785" s="192">
        <v>45463</v>
      </c>
      <c r="B2785" s="191">
        <v>6.87</v>
      </c>
      <c r="D2785" s="191">
        <v>6.13</v>
      </c>
    </row>
    <row r="2786" spans="1:4" ht="16.2" x14ac:dyDescent="0.35">
      <c r="A2786" s="194">
        <v>45470</v>
      </c>
      <c r="B2786" s="193">
        <v>6.86</v>
      </c>
      <c r="D2786" s="193">
        <v>6.16</v>
      </c>
    </row>
    <row r="2787" spans="1:4" ht="16.2" x14ac:dyDescent="0.35">
      <c r="A2787" s="196">
        <v>45476</v>
      </c>
      <c r="B2787" s="195">
        <v>6.95</v>
      </c>
      <c r="D2787" s="195">
        <v>6.25</v>
      </c>
    </row>
    <row r="2788" spans="1:4" ht="16.2" x14ac:dyDescent="0.35">
      <c r="A2788" s="198">
        <v>45484</v>
      </c>
      <c r="B2788" s="197">
        <v>6.89</v>
      </c>
      <c r="D2788" s="197">
        <v>6.17</v>
      </c>
    </row>
    <row r="2789" spans="1:4" ht="16.2" x14ac:dyDescent="0.35">
      <c r="A2789" s="200">
        <v>45491</v>
      </c>
      <c r="B2789" s="199">
        <v>6.77</v>
      </c>
      <c r="D2789" s="199">
        <v>6.05</v>
      </c>
    </row>
    <row r="2790" spans="1:4" ht="16.2" x14ac:dyDescent="0.35">
      <c r="A2790" s="202">
        <v>45498</v>
      </c>
      <c r="B2790" s="201">
        <v>6.78</v>
      </c>
      <c r="D2790" s="201">
        <v>6.07</v>
      </c>
    </row>
    <row r="2791" spans="1:4" ht="16.2" x14ac:dyDescent="0.35">
      <c r="A2791" s="204">
        <v>45505</v>
      </c>
      <c r="B2791" s="203">
        <v>6.73</v>
      </c>
      <c r="D2791" s="203">
        <v>5.99</v>
      </c>
    </row>
    <row r="2792" spans="1:4" ht="16.2" x14ac:dyDescent="0.35">
      <c r="A2792" s="206">
        <v>45512</v>
      </c>
      <c r="B2792" s="205">
        <v>6.47</v>
      </c>
      <c r="D2792" s="205">
        <v>5.63</v>
      </c>
    </row>
    <row r="2793" spans="1:4" ht="16.2" x14ac:dyDescent="0.35">
      <c r="A2793" s="208">
        <v>45519</v>
      </c>
      <c r="B2793" s="207">
        <v>6.49</v>
      </c>
      <c r="D2793" s="207">
        <v>5.66</v>
      </c>
    </row>
    <row r="2794" spans="1:4" ht="16.2" x14ac:dyDescent="0.35">
      <c r="A2794" s="210">
        <v>45526</v>
      </c>
      <c r="B2794" s="209">
        <v>6.46</v>
      </c>
      <c r="D2794" s="209">
        <v>5.62</v>
      </c>
    </row>
    <row r="2795" spans="1:4" ht="16.2" x14ac:dyDescent="0.35">
      <c r="A2795" s="212">
        <v>45533</v>
      </c>
      <c r="B2795" s="211">
        <v>6.35</v>
      </c>
      <c r="D2795" s="211">
        <v>5.51</v>
      </c>
    </row>
    <row r="2796" spans="1:4" ht="16.2" x14ac:dyDescent="0.35">
      <c r="A2796" s="214">
        <v>45540</v>
      </c>
      <c r="B2796" s="213">
        <v>6.35</v>
      </c>
      <c r="D2796" s="213">
        <v>5.47</v>
      </c>
    </row>
    <row r="2797" spans="1:4" ht="16.2" x14ac:dyDescent="0.35">
      <c r="A2797" s="216">
        <v>45547</v>
      </c>
      <c r="B2797" s="215">
        <v>6.2</v>
      </c>
      <c r="D2797" s="215">
        <v>5.27</v>
      </c>
    </row>
    <row r="2798" spans="1:4" ht="16.2" x14ac:dyDescent="0.35">
      <c r="A2798" s="218">
        <v>45554</v>
      </c>
      <c r="B2798" s="217">
        <v>6.09</v>
      </c>
      <c r="D2798" s="217">
        <v>5.15</v>
      </c>
    </row>
    <row r="2799" spans="1:4" ht="16.2" x14ac:dyDescent="0.35">
      <c r="A2799" s="220">
        <v>45561</v>
      </c>
      <c r="B2799" s="219">
        <v>6.08</v>
      </c>
      <c r="D2799" s="219">
        <v>5.16</v>
      </c>
    </row>
    <row r="2800" spans="1:4" ht="16.2" x14ac:dyDescent="0.35">
      <c r="A2800" s="222">
        <v>45568</v>
      </c>
      <c r="B2800" s="221">
        <v>6.12</v>
      </c>
      <c r="D2800" s="221">
        <v>5.25</v>
      </c>
    </row>
    <row r="2801" spans="1:10" ht="16.2" x14ac:dyDescent="0.35">
      <c r="A2801" s="224">
        <v>45575</v>
      </c>
      <c r="B2801" s="223">
        <v>6.32</v>
      </c>
      <c r="D2801" s="223">
        <v>5.41</v>
      </c>
    </row>
    <row r="2802" spans="1:10" ht="16.2" x14ac:dyDescent="0.35">
      <c r="A2802" s="226">
        <v>45582</v>
      </c>
      <c r="B2802" s="225">
        <v>6.44</v>
      </c>
      <c r="D2802" s="225">
        <v>5.63</v>
      </c>
    </row>
    <row r="2803" spans="1:10" ht="16.2" x14ac:dyDescent="0.35">
      <c r="A2803" s="228">
        <v>45589</v>
      </c>
      <c r="B2803" s="227">
        <v>6.54</v>
      </c>
      <c r="D2803" s="227">
        <v>5.71</v>
      </c>
    </row>
    <row r="2804" spans="1:10" ht="16.2" x14ac:dyDescent="0.35">
      <c r="A2804" s="230">
        <v>45596</v>
      </c>
      <c r="B2804" s="229">
        <v>6.72</v>
      </c>
      <c r="D2804" s="229">
        <v>5.99</v>
      </c>
    </row>
    <row r="2805" spans="1:10" ht="16.2" x14ac:dyDescent="0.35">
      <c r="A2805" s="232">
        <v>45603</v>
      </c>
      <c r="B2805" s="231">
        <v>6.79</v>
      </c>
      <c r="D2805" s="231">
        <v>6</v>
      </c>
    </row>
    <row r="2806" spans="1:10" ht="16.2" x14ac:dyDescent="0.35">
      <c r="A2806" s="234">
        <v>45610</v>
      </c>
      <c r="B2806" s="233">
        <v>6.78</v>
      </c>
      <c r="D2806" s="233">
        <v>5.99</v>
      </c>
    </row>
    <row r="2807" spans="1:10" ht="16.2" x14ac:dyDescent="0.35">
      <c r="A2807" s="236">
        <v>45617</v>
      </c>
      <c r="B2807" s="235">
        <v>6.84</v>
      </c>
      <c r="D2807" s="235">
        <v>6.02</v>
      </c>
    </row>
    <row r="2808" spans="1:10" ht="31.5" customHeight="1" x14ac:dyDescent="0.3">
      <c r="A2808" s="242" t="s">
        <v>16</v>
      </c>
      <c r="B2808" s="243"/>
      <c r="C2808" s="244"/>
      <c r="D2808" s="243"/>
      <c r="E2808" s="244"/>
      <c r="F2808" s="243"/>
      <c r="G2808" s="244"/>
      <c r="H2808" s="244"/>
      <c r="I2808" s="243"/>
      <c r="J2808" s="243"/>
    </row>
    <row r="2809" spans="1:10" x14ac:dyDescent="0.3">
      <c r="A2809" s="245"/>
      <c r="B2809" s="243"/>
      <c r="C2809" s="244"/>
      <c r="D2809" s="243"/>
      <c r="E2809" s="244"/>
      <c r="F2809" s="243"/>
      <c r="G2809" s="244"/>
      <c r="H2809" s="244"/>
      <c r="I2809" s="243"/>
      <c r="J2809" s="243"/>
    </row>
    <row r="2810" spans="1:10" x14ac:dyDescent="0.3">
      <c r="A2810" s="245"/>
      <c r="B2810" s="243"/>
      <c r="C2810" s="244"/>
      <c r="D2810" s="243"/>
      <c r="E2810" s="244"/>
      <c r="F2810" s="243"/>
      <c r="G2810" s="244"/>
      <c r="H2810" s="244"/>
      <c r="I2810" s="243"/>
      <c r="J2810" s="243"/>
    </row>
    <row r="2811" spans="1:10" x14ac:dyDescent="0.3">
      <c r="A2811" s="245"/>
      <c r="B2811" s="243"/>
      <c r="C2811" s="244"/>
      <c r="D2811" s="243"/>
      <c r="E2811" s="244"/>
      <c r="F2811" s="243"/>
      <c r="G2811" s="244"/>
      <c r="H2811" s="244"/>
      <c r="I2811" s="243"/>
      <c r="J2811" s="243"/>
    </row>
    <row r="2812" spans="1:10" x14ac:dyDescent="0.3">
      <c r="A2812" s="245"/>
      <c r="B2812" s="243"/>
      <c r="C2812" s="244"/>
      <c r="D2812" s="243"/>
      <c r="E2812" s="244"/>
      <c r="F2812" s="243"/>
      <c r="G2812" s="244"/>
      <c r="H2812" s="244"/>
      <c r="I2812" s="243"/>
      <c r="J2812" s="243"/>
    </row>
  </sheetData>
  <mergeCells count="4">
    <mergeCell ref="D1:I1"/>
    <mergeCell ref="D2:I2"/>
    <mergeCell ref="D3:I3"/>
    <mergeCell ref="A2808:J2812"/>
  </mergeCells>
  <printOptions horizontalCentered="1" gridLinesSet="0"/>
  <pageMargins left="0.5" right="0.5" top="0.25" bottom="0.25" header="0.25" footer="0.25"/>
  <pageSetup scale="90"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67F4-386D-43D1-8FEE-BBC9AF29C297}">
  <dimension ref="A2:G2813"/>
  <sheetViews>
    <sheetView tabSelected="1" workbookViewId="0">
      <selection activeCell="H7" sqref="H7"/>
    </sheetView>
  </sheetViews>
  <sheetFormatPr defaultRowHeight="15.6" x14ac:dyDescent="0.3"/>
  <cols>
    <col min="1" max="1" width="9" style="1" bestFit="1" customWidth="1" collapsed="1"/>
    <col min="2" max="2" width="10.6328125" bestFit="1" customWidth="1" collapsed="1"/>
    <col min="3" max="3" width="11.453125" bestFit="1" customWidth="1"/>
    <col min="4" max="4" width="11.453125" style="238" bestFit="1" customWidth="1"/>
    <col min="5" max="5" width="10.08984375" bestFit="1" customWidth="1"/>
    <col min="6" max="6" width="8.90625" style="237" bestFit="1" customWidth="1"/>
    <col min="7" max="7" width="34" bestFit="1" customWidth="1"/>
  </cols>
  <sheetData>
    <row r="2" spans="1:7" x14ac:dyDescent="0.3">
      <c r="G2" t="s">
        <v>20</v>
      </c>
    </row>
    <row r="3" spans="1:7" x14ac:dyDescent="0.3">
      <c r="G3" t="s">
        <v>21</v>
      </c>
    </row>
    <row r="4" spans="1:7" x14ac:dyDescent="0.3">
      <c r="G4" t="s">
        <v>23</v>
      </c>
    </row>
    <row r="5" spans="1:7" x14ac:dyDescent="0.3">
      <c r="G5" t="s">
        <v>22</v>
      </c>
    </row>
    <row r="6" spans="1:7" x14ac:dyDescent="0.3">
      <c r="G6" t="s">
        <v>24</v>
      </c>
    </row>
    <row r="7" spans="1:7" x14ac:dyDescent="0.3">
      <c r="G7" t="s">
        <v>25</v>
      </c>
    </row>
    <row r="8" spans="1:7" ht="16.2" thickBot="1" x14ac:dyDescent="0.35">
      <c r="A8" s="14" t="s">
        <v>5</v>
      </c>
      <c r="B8" s="15" t="s">
        <v>17</v>
      </c>
      <c r="C8" t="s">
        <v>18</v>
      </c>
      <c r="D8" s="238" t="s">
        <v>18</v>
      </c>
      <c r="E8" t="s">
        <v>27</v>
      </c>
      <c r="F8" s="237" t="s">
        <v>19</v>
      </c>
      <c r="G8" t="s">
        <v>26</v>
      </c>
    </row>
    <row r="9" spans="1:7" ht="16.8" thickTop="1" x14ac:dyDescent="0.35">
      <c r="A9" s="20">
        <v>26025</v>
      </c>
      <c r="B9" s="21">
        <v>7.33</v>
      </c>
      <c r="C9" s="238">
        <f t="shared" ref="C9:C15" si="0">EOMONTH(A9,-1)+1</f>
        <v>26024</v>
      </c>
      <c r="D9" s="238">
        <v>26024</v>
      </c>
      <c r="E9" t="str">
        <f>TEXT(D9,"YYYY-MM-DD")</f>
        <v>1971-04-01</v>
      </c>
      <c r="F9" s="237">
        <f>AVERAGEIFS(B:B,C:C,D9)/100</f>
        <v>7.3099999999999998E-2</v>
      </c>
      <c r="G9" t="str">
        <f>"('"&amp;E9&amp;"',"&amp;F9&amp;")"&amp;IF(LEN(E10)+LEN(F10)&gt;0,",",";")</f>
        <v>('1971-04-01',0.0731),</v>
      </c>
    </row>
    <row r="10" spans="1:7" ht="16.2" x14ac:dyDescent="0.35">
      <c r="A10" s="20">
        <v>26032</v>
      </c>
      <c r="B10" s="21">
        <v>7.31</v>
      </c>
      <c r="C10" s="238">
        <f t="shared" si="0"/>
        <v>26024</v>
      </c>
      <c r="D10" s="238">
        <v>26054</v>
      </c>
      <c r="E10" t="str">
        <f>TEXT(D10,"YYYY-MM-DD")</f>
        <v>1971-05-01</v>
      </c>
      <c r="F10" s="237">
        <f>AVERAGEIFS(B:B,C:C,D10)/100</f>
        <v>7.425000000000001E-2</v>
      </c>
      <c r="G10" t="str">
        <f>"('"&amp;E10&amp;"',"&amp;F10&amp;")"&amp;IF(LEN(E11)+LEN(F11)&gt;0,",",";")</f>
        <v>('1971-05-01',0.07425),</v>
      </c>
    </row>
    <row r="11" spans="1:7" ht="16.2" x14ac:dyDescent="0.35">
      <c r="A11" s="20">
        <v>26039</v>
      </c>
      <c r="B11" s="21">
        <v>7.31</v>
      </c>
      <c r="C11" s="238">
        <f t="shared" si="0"/>
        <v>26024</v>
      </c>
      <c r="D11" s="238">
        <v>26085</v>
      </c>
      <c r="E11" t="str">
        <f>TEXT(D11,"YYYY-MM-DD")</f>
        <v>1971-06-01</v>
      </c>
      <c r="F11" s="237">
        <f>AVERAGEIFS(B:B,C:C,D11)/100</f>
        <v>7.5299999999999992E-2</v>
      </c>
      <c r="G11" t="str">
        <f t="shared" ref="G11:G74" si="1">"('"&amp;E11&amp;"',"&amp;F11&amp;")"&amp;IF(LEN(E12)+LEN(F12)&gt;0,",",";")</f>
        <v>('1971-06-01',0.0753),</v>
      </c>
    </row>
    <row r="12" spans="1:7" ht="16.2" x14ac:dyDescent="0.35">
      <c r="A12" s="20">
        <v>26046</v>
      </c>
      <c r="B12" s="21">
        <v>7.31</v>
      </c>
      <c r="C12" s="238">
        <f t="shared" si="0"/>
        <v>26024</v>
      </c>
      <c r="D12" s="238">
        <v>26115</v>
      </c>
      <c r="E12" t="str">
        <f>TEXT(D12,"YYYY-MM-DD")</f>
        <v>1971-07-01</v>
      </c>
      <c r="F12" s="237">
        <f>AVERAGEIFS(B:B,C:C,D12)/100</f>
        <v>7.6039999999999996E-2</v>
      </c>
      <c r="G12" t="str">
        <f t="shared" si="1"/>
        <v>('1971-07-01',0.07604),</v>
      </c>
    </row>
    <row r="13" spans="1:7" ht="16.2" x14ac:dyDescent="0.35">
      <c r="A13" s="20">
        <v>26053</v>
      </c>
      <c r="B13" s="21">
        <v>7.29</v>
      </c>
      <c r="C13" s="238">
        <f t="shared" si="0"/>
        <v>26024</v>
      </c>
      <c r="D13" s="238">
        <v>26146</v>
      </c>
      <c r="E13" t="str">
        <f>TEXT(D13,"YYYY-MM-DD")</f>
        <v>1971-08-01</v>
      </c>
      <c r="F13" s="237">
        <f>AVERAGEIFS(B:B,C:C,D13)/100</f>
        <v>7.6975000000000002E-2</v>
      </c>
      <c r="G13" t="str">
        <f t="shared" si="1"/>
        <v>('1971-08-01',0.076975),</v>
      </c>
    </row>
    <row r="14" spans="1:7" ht="16.2" x14ac:dyDescent="0.35">
      <c r="A14" s="20">
        <v>26060</v>
      </c>
      <c r="B14" s="21">
        <v>7.38</v>
      </c>
      <c r="C14" s="238">
        <f t="shared" si="0"/>
        <v>26054</v>
      </c>
      <c r="D14" s="238">
        <v>26177</v>
      </c>
      <c r="E14" t="str">
        <f>TEXT(D14,"YYYY-MM-DD")</f>
        <v>1971-09-01</v>
      </c>
      <c r="F14" s="237">
        <f>AVERAGEIFS(B:B,C:C,D14)/100</f>
        <v>7.6874999999999999E-2</v>
      </c>
      <c r="G14" t="str">
        <f t="shared" si="1"/>
        <v>('1971-09-01',0.076875),</v>
      </c>
    </row>
    <row r="15" spans="1:7" ht="16.2" x14ac:dyDescent="0.35">
      <c r="A15" s="20">
        <v>26067</v>
      </c>
      <c r="B15" s="21">
        <v>7.42</v>
      </c>
      <c r="C15" s="238">
        <f t="shared" si="0"/>
        <v>26054</v>
      </c>
      <c r="D15" s="238">
        <v>26207</v>
      </c>
      <c r="E15" t="str">
        <f>TEXT(D15,"YYYY-MM-DD")</f>
        <v>1971-10-01</v>
      </c>
      <c r="F15" s="237">
        <f>AVERAGEIFS(B:B,C:C,D15)/100</f>
        <v>7.6280000000000001E-2</v>
      </c>
      <c r="G15" t="str">
        <f t="shared" si="1"/>
        <v>('1971-10-01',0.07628),</v>
      </c>
    </row>
    <row r="16" spans="1:7" ht="16.2" x14ac:dyDescent="0.35">
      <c r="A16" s="20">
        <v>26074</v>
      </c>
      <c r="B16" s="21">
        <v>7.44</v>
      </c>
      <c r="C16" s="238">
        <f t="shared" ref="C16:C79" si="2">EOMONTH(A16,-1)+1</f>
        <v>26054</v>
      </c>
      <c r="D16" s="238">
        <v>26238</v>
      </c>
      <c r="E16" t="str">
        <f>TEXT(D16,"YYYY-MM-DD")</f>
        <v>1971-11-01</v>
      </c>
      <c r="F16" s="237">
        <f>AVERAGEIFS(B:B,C:C,D16)/100</f>
        <v>7.5499999999999984E-2</v>
      </c>
      <c r="G16" t="str">
        <f t="shared" si="1"/>
        <v>('1971-11-01',0.0755),</v>
      </c>
    </row>
    <row r="17" spans="1:7" ht="16.2" x14ac:dyDescent="0.35">
      <c r="A17" s="20">
        <v>26081</v>
      </c>
      <c r="B17" s="21">
        <v>7.46</v>
      </c>
      <c r="C17" s="238">
        <f t="shared" si="2"/>
        <v>26054</v>
      </c>
      <c r="D17" s="238">
        <v>26268</v>
      </c>
      <c r="E17" t="str">
        <f>TEXT(D17,"YYYY-MM-DD")</f>
        <v>1971-12-01</v>
      </c>
      <c r="F17" s="237">
        <f>AVERAGEIFS(B:B,C:C,D17)/100</f>
        <v>7.4800000000000019E-2</v>
      </c>
      <c r="G17" t="str">
        <f t="shared" si="1"/>
        <v>('1971-12-01',0.0748),</v>
      </c>
    </row>
    <row r="18" spans="1:7" ht="16.2" x14ac:dyDescent="0.35">
      <c r="A18" s="20">
        <v>26088</v>
      </c>
      <c r="B18" s="21">
        <v>7.52</v>
      </c>
      <c r="C18" s="238">
        <f t="shared" si="2"/>
        <v>26085</v>
      </c>
      <c r="D18" s="238">
        <v>26299</v>
      </c>
      <c r="E18" t="str">
        <f>TEXT(D18,"YYYY-MM-DD")</f>
        <v>1972-01-01</v>
      </c>
      <c r="F18" s="237">
        <f>AVERAGEIFS(B:B,C:C,D18)/100</f>
        <v>7.4374999999999997E-2</v>
      </c>
      <c r="G18" t="str">
        <f t="shared" si="1"/>
        <v>('1972-01-01',0.074375),</v>
      </c>
    </row>
    <row r="19" spans="1:7" ht="16.2" x14ac:dyDescent="0.35">
      <c r="A19" s="20">
        <v>26095</v>
      </c>
      <c r="B19" s="21">
        <v>7.52</v>
      </c>
      <c r="C19" s="238">
        <f t="shared" si="2"/>
        <v>26085</v>
      </c>
      <c r="D19" s="238">
        <v>26330</v>
      </c>
      <c r="E19" t="str">
        <f>TEXT(D19,"YYYY-MM-DD")</f>
        <v>1972-02-01</v>
      </c>
      <c r="F19" s="237">
        <f>AVERAGEIFS(B:B,C:C,D19)/100</f>
        <v>7.3249999999999996E-2</v>
      </c>
      <c r="G19" t="str">
        <f t="shared" si="1"/>
        <v>('1972-02-01',0.07325),</v>
      </c>
    </row>
    <row r="20" spans="1:7" ht="16.2" x14ac:dyDescent="0.35">
      <c r="A20" s="20">
        <v>26102</v>
      </c>
      <c r="B20" s="21">
        <v>7.54</v>
      </c>
      <c r="C20" s="238">
        <f t="shared" si="2"/>
        <v>26085</v>
      </c>
      <c r="D20" s="238">
        <v>26359</v>
      </c>
      <c r="E20" t="str">
        <f>TEXT(D20,"YYYY-MM-DD")</f>
        <v>1972-03-01</v>
      </c>
      <c r="F20" s="237">
        <f>AVERAGEIFS(B:B,C:C,D20)/100</f>
        <v>7.2979999999999989E-2</v>
      </c>
      <c r="G20" t="str">
        <f t="shared" si="1"/>
        <v>('1972-03-01',0.07298),</v>
      </c>
    </row>
    <row r="21" spans="1:7" ht="16.2" x14ac:dyDescent="0.35">
      <c r="A21" s="20">
        <v>26109</v>
      </c>
      <c r="B21" s="21">
        <v>7.54</v>
      </c>
      <c r="C21" s="238">
        <f t="shared" si="2"/>
        <v>26085</v>
      </c>
      <c r="D21" s="238">
        <v>26390</v>
      </c>
      <c r="E21" t="str">
        <f>TEXT(D21,"YYYY-MM-DD")</f>
        <v>1972-04-01</v>
      </c>
      <c r="F21" s="237">
        <f>AVERAGEIFS(B:B,C:C,D21)/100</f>
        <v>7.2899999999999993E-2</v>
      </c>
      <c r="G21" t="str">
        <f t="shared" si="1"/>
        <v>('1972-04-01',0.0729),</v>
      </c>
    </row>
    <row r="22" spans="1:7" ht="16.2" x14ac:dyDescent="0.35">
      <c r="A22" s="20">
        <v>26116</v>
      </c>
      <c r="B22" s="21">
        <v>7.54</v>
      </c>
      <c r="C22" s="238">
        <f t="shared" si="2"/>
        <v>26115</v>
      </c>
      <c r="D22" s="238">
        <v>26420</v>
      </c>
      <c r="E22" t="str">
        <f>TEXT(D22,"YYYY-MM-DD")</f>
        <v>1972-05-01</v>
      </c>
      <c r="F22" s="237">
        <f>AVERAGEIFS(B:B,C:C,D22)/100</f>
        <v>7.3724999999999999E-2</v>
      </c>
      <c r="G22" t="str">
        <f t="shared" si="1"/>
        <v>('1972-05-01',0.073725),</v>
      </c>
    </row>
    <row r="23" spans="1:7" ht="16.2" x14ac:dyDescent="0.35">
      <c r="A23" s="20">
        <v>26123</v>
      </c>
      <c r="B23" s="21">
        <v>7.54</v>
      </c>
      <c r="C23" s="238">
        <f t="shared" si="2"/>
        <v>26115</v>
      </c>
      <c r="D23" s="238">
        <v>26451</v>
      </c>
      <c r="E23" t="str">
        <f>TEXT(D23,"YYYY-MM-DD")</f>
        <v>1972-06-01</v>
      </c>
      <c r="F23" s="237">
        <f>AVERAGEIFS(B:B,C:C,D23)/100</f>
        <v>7.3719999999999994E-2</v>
      </c>
      <c r="G23" t="str">
        <f t="shared" si="1"/>
        <v>('1972-06-01',0.07372),</v>
      </c>
    </row>
    <row r="24" spans="1:7" ht="16.2" x14ac:dyDescent="0.35">
      <c r="A24" s="20">
        <v>26130</v>
      </c>
      <c r="B24" s="21">
        <v>7.6</v>
      </c>
      <c r="C24" s="238">
        <f t="shared" si="2"/>
        <v>26115</v>
      </c>
      <c r="D24" s="238">
        <v>26481</v>
      </c>
      <c r="E24" t="str">
        <f>TEXT(D24,"YYYY-MM-DD")</f>
        <v>1972-07-01</v>
      </c>
      <c r="F24" s="237">
        <f>AVERAGEIFS(B:B,C:C,D24)/100</f>
        <v>7.3950000000000002E-2</v>
      </c>
      <c r="G24" t="str">
        <f t="shared" si="1"/>
        <v>('1972-07-01',0.07395),</v>
      </c>
    </row>
    <row r="25" spans="1:7" ht="16.2" x14ac:dyDescent="0.35">
      <c r="A25" s="20">
        <v>26137</v>
      </c>
      <c r="B25" s="21">
        <v>7.65</v>
      </c>
      <c r="C25" s="238">
        <f t="shared" si="2"/>
        <v>26115</v>
      </c>
      <c r="D25" s="238">
        <v>26512</v>
      </c>
      <c r="E25" t="str">
        <f>TEXT(D25,"YYYY-MM-DD")</f>
        <v>1972-08-01</v>
      </c>
      <c r="F25" s="237">
        <f>AVERAGEIFS(B:B,C:C,D25)/100</f>
        <v>7.400000000000001E-2</v>
      </c>
      <c r="G25" t="str">
        <f t="shared" si="1"/>
        <v>('1972-08-01',0.074),</v>
      </c>
    </row>
    <row r="26" spans="1:7" ht="16.2" x14ac:dyDescent="0.35">
      <c r="A26" s="20">
        <v>26144</v>
      </c>
      <c r="B26" s="21">
        <v>7.69</v>
      </c>
      <c r="C26" s="238">
        <f t="shared" si="2"/>
        <v>26115</v>
      </c>
      <c r="D26" s="238">
        <v>26543</v>
      </c>
      <c r="E26" t="str">
        <f>TEXT(D26,"YYYY-MM-DD")</f>
        <v>1972-09-01</v>
      </c>
      <c r="F26" s="237">
        <f>AVERAGEIFS(B:B,C:C,D26)/100</f>
        <v>7.4199999999999988E-2</v>
      </c>
      <c r="G26" t="str">
        <f t="shared" si="1"/>
        <v>('1972-09-01',0.0742),</v>
      </c>
    </row>
    <row r="27" spans="1:7" ht="16.2" x14ac:dyDescent="0.35">
      <c r="A27" s="20">
        <v>26151</v>
      </c>
      <c r="B27" s="21">
        <v>7.66</v>
      </c>
      <c r="C27" s="238">
        <f t="shared" si="2"/>
        <v>26146</v>
      </c>
      <c r="D27" s="238">
        <v>26573</v>
      </c>
      <c r="E27" t="str">
        <f>TEXT(D27,"YYYY-MM-DD")</f>
        <v>1972-10-01</v>
      </c>
      <c r="F27" s="237">
        <f>AVERAGEIFS(B:B,C:C,D27)/100</f>
        <v>7.4200000000000002E-2</v>
      </c>
      <c r="G27" t="str">
        <f t="shared" si="1"/>
        <v>('1972-10-01',0.0742),</v>
      </c>
    </row>
    <row r="28" spans="1:7" ht="16.2" x14ac:dyDescent="0.35">
      <c r="A28" s="20">
        <v>26158</v>
      </c>
      <c r="B28" s="21">
        <v>7.73</v>
      </c>
      <c r="C28" s="238">
        <f t="shared" si="2"/>
        <v>26146</v>
      </c>
      <c r="D28" s="238">
        <v>26604</v>
      </c>
      <c r="E28" t="str">
        <f>TEXT(D28,"YYYY-MM-DD")</f>
        <v>1972-11-01</v>
      </c>
      <c r="F28" s="237">
        <f>AVERAGEIFS(B:B,C:C,D28)/100</f>
        <v>7.4275000000000008E-2</v>
      </c>
      <c r="G28" t="str">
        <f t="shared" si="1"/>
        <v>('1972-11-01',0.074275),</v>
      </c>
    </row>
    <row r="29" spans="1:7" ht="16.2" x14ac:dyDescent="0.35">
      <c r="A29" s="20">
        <v>26165</v>
      </c>
      <c r="B29" s="21">
        <v>7.71</v>
      </c>
      <c r="C29" s="238">
        <f t="shared" si="2"/>
        <v>26146</v>
      </c>
      <c r="D29" s="238">
        <v>26634</v>
      </c>
      <c r="E29" t="str">
        <f>TEXT(D29,"YYYY-MM-DD")</f>
        <v>1972-12-01</v>
      </c>
      <c r="F29" s="237">
        <f>AVERAGEIFS(B:B,C:C,D29)/100</f>
        <v>7.442E-2</v>
      </c>
      <c r="G29" t="str">
        <f t="shared" si="1"/>
        <v>('1972-12-01',0.07442),</v>
      </c>
    </row>
    <row r="30" spans="1:7" ht="16.2" x14ac:dyDescent="0.35">
      <c r="A30" s="20">
        <v>26172</v>
      </c>
      <c r="B30" s="21">
        <v>7.69</v>
      </c>
      <c r="C30" s="238">
        <f t="shared" si="2"/>
        <v>26146</v>
      </c>
      <c r="D30" s="238">
        <v>26665</v>
      </c>
      <c r="E30" t="str">
        <f>TEXT(D30,"YYYY-MM-DD")</f>
        <v>1973-01-01</v>
      </c>
      <c r="F30" s="237">
        <f>AVERAGEIFS(B:B,C:C,D30)/100</f>
        <v>7.4374999999999997E-2</v>
      </c>
      <c r="G30" t="str">
        <f t="shared" si="1"/>
        <v>('1973-01-01',0.074375),</v>
      </c>
    </row>
    <row r="31" spans="1:7" ht="16.2" x14ac:dyDescent="0.35">
      <c r="A31" s="20">
        <v>26179</v>
      </c>
      <c r="B31" s="21">
        <v>7.71</v>
      </c>
      <c r="C31" s="238">
        <f t="shared" si="2"/>
        <v>26177</v>
      </c>
      <c r="D31" s="238">
        <v>26696</v>
      </c>
      <c r="E31" t="str">
        <f>TEXT(D31,"YYYY-MM-DD")</f>
        <v>1973-02-01</v>
      </c>
      <c r="F31" s="237">
        <f>AVERAGEIFS(B:B,C:C,D31)/100</f>
        <v>7.4399999999999994E-2</v>
      </c>
      <c r="G31" t="str">
        <f t="shared" si="1"/>
        <v>('1973-02-01',0.0744),</v>
      </c>
    </row>
    <row r="32" spans="1:7" ht="16.2" x14ac:dyDescent="0.35">
      <c r="A32" s="20">
        <v>26186</v>
      </c>
      <c r="B32" s="21">
        <v>7.67</v>
      </c>
      <c r="C32" s="238">
        <f t="shared" si="2"/>
        <v>26177</v>
      </c>
      <c r="D32" s="238">
        <v>26724</v>
      </c>
      <c r="E32" t="str">
        <f>TEXT(D32,"YYYY-MM-DD")</f>
        <v>1973-03-01</v>
      </c>
      <c r="F32" s="237">
        <f>AVERAGEIFS(B:B,C:C,D32)/100</f>
        <v>7.4580000000000007E-2</v>
      </c>
      <c r="G32" t="str">
        <f t="shared" si="1"/>
        <v>('1973-03-01',0.07458),</v>
      </c>
    </row>
    <row r="33" spans="1:7" ht="16.2" x14ac:dyDescent="0.35">
      <c r="A33" s="20">
        <v>26193</v>
      </c>
      <c r="B33" s="21">
        <v>7.7</v>
      </c>
      <c r="C33" s="238">
        <f t="shared" si="2"/>
        <v>26177</v>
      </c>
      <c r="D33" s="238">
        <v>26755</v>
      </c>
      <c r="E33" t="str">
        <f>TEXT(D33,"YYYY-MM-DD")</f>
        <v>1973-04-01</v>
      </c>
      <c r="F33" s="237">
        <f>AVERAGEIFS(B:B,C:C,D33)/100</f>
        <v>7.5424999999999992E-2</v>
      </c>
      <c r="G33" t="str">
        <f t="shared" si="1"/>
        <v>('1973-04-01',0.075425),</v>
      </c>
    </row>
    <row r="34" spans="1:7" ht="16.2" x14ac:dyDescent="0.35">
      <c r="A34" s="20">
        <v>26200</v>
      </c>
      <c r="B34" s="21">
        <v>7.67</v>
      </c>
      <c r="C34" s="238">
        <f t="shared" si="2"/>
        <v>26177</v>
      </c>
      <c r="D34" s="238">
        <v>26785</v>
      </c>
      <c r="E34" t="str">
        <f>TEXT(D34,"YYYY-MM-DD")</f>
        <v>1973-05-01</v>
      </c>
      <c r="F34" s="237">
        <f>AVERAGEIFS(B:B,C:C,D34)/100</f>
        <v>7.6524999999999996E-2</v>
      </c>
      <c r="G34" t="str">
        <f t="shared" si="1"/>
        <v>('1973-05-01',0.076525),</v>
      </c>
    </row>
    <row r="35" spans="1:7" ht="16.2" x14ac:dyDescent="0.35">
      <c r="A35" s="20">
        <v>26207</v>
      </c>
      <c r="B35" s="21">
        <v>7.67</v>
      </c>
      <c r="C35" s="238">
        <f t="shared" si="2"/>
        <v>26207</v>
      </c>
      <c r="D35" s="238">
        <v>26816</v>
      </c>
      <c r="E35" t="str">
        <f>TEXT(D35,"YYYY-MM-DD")</f>
        <v>1973-06-01</v>
      </c>
      <c r="F35" s="237">
        <f>AVERAGEIFS(B:B,C:C,D35)/100</f>
        <v>7.7340000000000006E-2</v>
      </c>
      <c r="G35" t="str">
        <f t="shared" si="1"/>
        <v>('1973-06-01',0.07734),</v>
      </c>
    </row>
    <row r="36" spans="1:7" ht="16.2" x14ac:dyDescent="0.35">
      <c r="A36" s="20">
        <v>26214</v>
      </c>
      <c r="B36" s="21">
        <v>7.63</v>
      </c>
      <c r="C36" s="238">
        <f t="shared" si="2"/>
        <v>26207</v>
      </c>
      <c r="D36" s="238">
        <v>26846</v>
      </c>
      <c r="E36" t="str">
        <f>TEXT(D36,"YYYY-MM-DD")</f>
        <v>1973-07-01</v>
      </c>
      <c r="F36" s="237">
        <f>AVERAGEIFS(B:B,C:C,D36)/100</f>
        <v>8.0499999999999988E-2</v>
      </c>
      <c r="G36" t="str">
        <f t="shared" si="1"/>
        <v>('1973-07-01',0.0805),</v>
      </c>
    </row>
    <row r="37" spans="1:7" ht="16.2" x14ac:dyDescent="0.35">
      <c r="A37" s="20">
        <v>26221</v>
      </c>
      <c r="B37" s="21">
        <v>7.63</v>
      </c>
      <c r="C37" s="238">
        <f t="shared" si="2"/>
        <v>26207</v>
      </c>
      <c r="D37" s="238">
        <v>26877</v>
      </c>
      <c r="E37" t="str">
        <f>TEXT(D37,"YYYY-MM-DD")</f>
        <v>1973-08-01</v>
      </c>
      <c r="F37" s="237">
        <f>AVERAGEIFS(B:B,C:C,D37)/100</f>
        <v>8.4960000000000008E-2</v>
      </c>
      <c r="G37" t="str">
        <f t="shared" si="1"/>
        <v>('1973-08-01',0.08496),</v>
      </c>
    </row>
    <row r="38" spans="1:7" ht="16.2" x14ac:dyDescent="0.35">
      <c r="A38" s="20">
        <v>26228</v>
      </c>
      <c r="B38" s="21">
        <v>7.58</v>
      </c>
      <c r="C38" s="238">
        <f t="shared" si="2"/>
        <v>26207</v>
      </c>
      <c r="D38" s="238">
        <v>26908</v>
      </c>
      <c r="E38" t="str">
        <f>TEXT(D38,"YYYY-MM-DD")</f>
        <v>1973-09-01</v>
      </c>
      <c r="F38" s="237">
        <f>AVERAGEIFS(B:B,C:C,D38)/100</f>
        <v>8.8149999999999992E-2</v>
      </c>
      <c r="G38" t="str">
        <f t="shared" si="1"/>
        <v>('1973-09-01',0.08815),</v>
      </c>
    </row>
    <row r="39" spans="1:7" ht="16.2" x14ac:dyDescent="0.35">
      <c r="A39" s="20">
        <v>26235</v>
      </c>
      <c r="B39" s="21">
        <v>7.63</v>
      </c>
      <c r="C39" s="238">
        <f t="shared" si="2"/>
        <v>26207</v>
      </c>
      <c r="D39" s="238">
        <v>26938</v>
      </c>
      <c r="E39" t="str">
        <f>TEXT(D39,"YYYY-MM-DD")</f>
        <v>1973-10-01</v>
      </c>
      <c r="F39" s="237">
        <f>AVERAGEIFS(B:B,C:C,D39)/100</f>
        <v>8.77E-2</v>
      </c>
      <c r="G39" t="str">
        <f t="shared" si="1"/>
        <v>('1973-10-01',0.0877),</v>
      </c>
    </row>
    <row r="40" spans="1:7" ht="16.2" x14ac:dyDescent="0.35">
      <c r="A40" s="20">
        <v>26242</v>
      </c>
      <c r="B40" s="21">
        <v>7.59</v>
      </c>
      <c r="C40" s="238">
        <f t="shared" si="2"/>
        <v>26238</v>
      </c>
      <c r="D40" s="238">
        <v>26969</v>
      </c>
      <c r="E40" t="str">
        <f>TEXT(D40,"YYYY-MM-DD")</f>
        <v>1973-11-01</v>
      </c>
      <c r="F40" s="237">
        <f>AVERAGEIFS(B:B,C:C,D40)/100</f>
        <v>8.5819999999999994E-2</v>
      </c>
      <c r="G40" t="str">
        <f t="shared" si="1"/>
        <v>('1973-11-01',0.08582),</v>
      </c>
    </row>
    <row r="41" spans="1:7" ht="16.2" x14ac:dyDescent="0.35">
      <c r="A41" s="20">
        <v>26249</v>
      </c>
      <c r="B41" s="21">
        <v>7.56</v>
      </c>
      <c r="C41" s="238">
        <f t="shared" si="2"/>
        <v>26238</v>
      </c>
      <c r="D41" s="238">
        <v>26999</v>
      </c>
      <c r="E41" t="str">
        <f>TEXT(D41,"YYYY-MM-DD")</f>
        <v>1973-12-01</v>
      </c>
      <c r="F41" s="237">
        <f>AVERAGEIFS(B:B,C:C,D41)/100</f>
        <v>8.5374999999999993E-2</v>
      </c>
      <c r="G41" t="str">
        <f t="shared" si="1"/>
        <v>('1973-12-01',0.085375),</v>
      </c>
    </row>
    <row r="42" spans="1:7" ht="16.2" x14ac:dyDescent="0.35">
      <c r="A42" s="20">
        <v>26256</v>
      </c>
      <c r="B42" s="21">
        <v>7.54</v>
      </c>
      <c r="C42" s="238">
        <f t="shared" si="2"/>
        <v>26238</v>
      </c>
      <c r="D42" s="238">
        <v>27030</v>
      </c>
      <c r="E42" t="str">
        <f>TEXT(D42,"YYYY-MM-DD")</f>
        <v>1974-01-01</v>
      </c>
      <c r="F42" s="237">
        <f>AVERAGEIFS(B:B,C:C,D42)/100</f>
        <v>8.539999999999999E-2</v>
      </c>
      <c r="G42" t="str">
        <f t="shared" si="1"/>
        <v>('1974-01-01',0.0854),</v>
      </c>
    </row>
    <row r="43" spans="1:7" ht="16.2" x14ac:dyDescent="0.35">
      <c r="A43" s="20">
        <v>26263</v>
      </c>
      <c r="B43" s="21">
        <v>7.51</v>
      </c>
      <c r="C43" s="238">
        <f t="shared" si="2"/>
        <v>26238</v>
      </c>
      <c r="D43" s="238">
        <v>27061</v>
      </c>
      <c r="E43" t="str">
        <f>TEXT(D43,"YYYY-MM-DD")</f>
        <v>1974-02-01</v>
      </c>
      <c r="F43" s="237">
        <f>AVERAGEIFS(B:B,C:C,D43)/100</f>
        <v>8.455E-2</v>
      </c>
      <c r="G43" t="str">
        <f t="shared" si="1"/>
        <v>('1974-02-01',0.08455),</v>
      </c>
    </row>
    <row r="44" spans="1:7" ht="16.2" x14ac:dyDescent="0.35">
      <c r="A44" s="20">
        <v>26270</v>
      </c>
      <c r="B44" s="21">
        <v>7.49</v>
      </c>
      <c r="C44" s="238">
        <f t="shared" si="2"/>
        <v>26268</v>
      </c>
      <c r="D44" s="238">
        <v>27089</v>
      </c>
      <c r="E44" t="str">
        <f>TEXT(D44,"YYYY-MM-DD")</f>
        <v>1974-03-01</v>
      </c>
      <c r="F44" s="237">
        <f>AVERAGEIFS(B:B,C:C,D44)/100</f>
        <v>8.406000000000001E-2</v>
      </c>
      <c r="G44" t="str">
        <f t="shared" si="1"/>
        <v>('1974-03-01',0.08406),</v>
      </c>
    </row>
    <row r="45" spans="1:7" ht="16.2" x14ac:dyDescent="0.35">
      <c r="A45" s="20">
        <v>26277</v>
      </c>
      <c r="B45" s="21">
        <v>7.47</v>
      </c>
      <c r="C45" s="238">
        <f t="shared" si="2"/>
        <v>26268</v>
      </c>
      <c r="D45" s="238">
        <v>27120</v>
      </c>
      <c r="E45" t="str">
        <f>TEXT(D45,"YYYY-MM-DD")</f>
        <v>1974-04-01</v>
      </c>
      <c r="F45" s="237">
        <f>AVERAGEIFS(B:B,C:C,D45)/100</f>
        <v>8.5824999999999999E-2</v>
      </c>
      <c r="G45" t="str">
        <f t="shared" si="1"/>
        <v>('1974-04-01',0.085825),</v>
      </c>
    </row>
    <row r="46" spans="1:7" ht="16.2" x14ac:dyDescent="0.35">
      <c r="A46" s="20">
        <v>26284</v>
      </c>
      <c r="B46" s="21">
        <v>7.48</v>
      </c>
      <c r="C46" s="238">
        <f t="shared" si="2"/>
        <v>26268</v>
      </c>
      <c r="D46" s="238">
        <v>27150</v>
      </c>
      <c r="E46" t="str">
        <f>TEXT(D46,"YYYY-MM-DD")</f>
        <v>1974-05-01</v>
      </c>
      <c r="F46" s="237">
        <f>AVERAGEIFS(B:B,C:C,D46)/100</f>
        <v>8.9719999999999994E-2</v>
      </c>
      <c r="G46" t="str">
        <f t="shared" si="1"/>
        <v>('1974-05-01',0.08972),</v>
      </c>
    </row>
    <row r="47" spans="1:7" ht="16.2" x14ac:dyDescent="0.35">
      <c r="A47" s="20">
        <v>26291</v>
      </c>
      <c r="B47" s="21">
        <v>7.48</v>
      </c>
      <c r="C47" s="238">
        <f t="shared" si="2"/>
        <v>26268</v>
      </c>
      <c r="D47" s="238">
        <v>27181</v>
      </c>
      <c r="E47" t="str">
        <f>TEXT(D47,"YYYY-MM-DD")</f>
        <v>1974-06-01</v>
      </c>
      <c r="F47" s="237">
        <f>AVERAGEIFS(B:B,C:C,D47)/100</f>
        <v>9.0850000000000014E-2</v>
      </c>
      <c r="G47" t="str">
        <f t="shared" si="1"/>
        <v>('1974-06-01',0.09085),</v>
      </c>
    </row>
    <row r="48" spans="1:7" ht="16.2" x14ac:dyDescent="0.35">
      <c r="A48" s="20">
        <v>26298</v>
      </c>
      <c r="B48" s="21">
        <v>7.48</v>
      </c>
      <c r="C48" s="238">
        <f t="shared" si="2"/>
        <v>26268</v>
      </c>
      <c r="D48" s="238">
        <v>27211</v>
      </c>
      <c r="E48" t="str">
        <f>TEXT(D48,"YYYY-MM-DD")</f>
        <v>1974-07-01</v>
      </c>
      <c r="F48" s="237">
        <f>AVERAGEIFS(B:B,C:C,D48)/100</f>
        <v>9.2799999999999994E-2</v>
      </c>
      <c r="G48" t="str">
        <f t="shared" si="1"/>
        <v>('1974-07-01',0.0928),</v>
      </c>
    </row>
    <row r="49" spans="1:7" ht="16.2" x14ac:dyDescent="0.35">
      <c r="A49" s="20">
        <v>26305</v>
      </c>
      <c r="B49" s="21">
        <v>7.46</v>
      </c>
      <c r="C49" s="238">
        <f t="shared" si="2"/>
        <v>26299</v>
      </c>
      <c r="D49" s="238">
        <v>27242</v>
      </c>
      <c r="E49" t="str">
        <f>TEXT(D49,"YYYY-MM-DD")</f>
        <v>1974-08-01</v>
      </c>
      <c r="F49" s="237">
        <f>AVERAGEIFS(B:B,C:C,D49)/100</f>
        <v>9.5860000000000001E-2</v>
      </c>
      <c r="G49" t="str">
        <f t="shared" si="1"/>
        <v>('1974-08-01',0.09586),</v>
      </c>
    </row>
    <row r="50" spans="1:7" ht="16.2" x14ac:dyDescent="0.35">
      <c r="A50" s="20">
        <v>26312</v>
      </c>
      <c r="B50" s="21">
        <v>7.46</v>
      </c>
      <c r="C50" s="238">
        <f t="shared" si="2"/>
        <v>26299</v>
      </c>
      <c r="D50" s="238">
        <v>27273</v>
      </c>
      <c r="E50" t="str">
        <f>TEXT(D50,"YYYY-MM-DD")</f>
        <v>1974-09-01</v>
      </c>
      <c r="F50" s="237">
        <f>AVERAGEIFS(B:B,C:C,D50)/100</f>
        <v>9.9574999999999997E-2</v>
      </c>
      <c r="G50" t="str">
        <f t="shared" si="1"/>
        <v>('1974-09-01',0.099575),</v>
      </c>
    </row>
    <row r="51" spans="1:7" ht="16.2" x14ac:dyDescent="0.35">
      <c r="A51" s="20">
        <v>26319</v>
      </c>
      <c r="B51" s="21">
        <v>7.43</v>
      </c>
      <c r="C51" s="238">
        <f t="shared" si="2"/>
        <v>26299</v>
      </c>
      <c r="D51" s="238">
        <v>27303</v>
      </c>
      <c r="E51" t="str">
        <f>TEXT(D51,"YYYY-MM-DD")</f>
        <v>1974-10-01</v>
      </c>
      <c r="F51" s="237">
        <f>AVERAGEIFS(B:B,C:C,D51)/100</f>
        <v>9.9774999999999989E-2</v>
      </c>
      <c r="G51" t="str">
        <f t="shared" si="1"/>
        <v>('1974-10-01',0.099775),</v>
      </c>
    </row>
    <row r="52" spans="1:7" ht="16.2" x14ac:dyDescent="0.35">
      <c r="A52" s="20">
        <v>26326</v>
      </c>
      <c r="B52" s="21">
        <v>7.4</v>
      </c>
      <c r="C52" s="238">
        <f t="shared" si="2"/>
        <v>26299</v>
      </c>
      <c r="D52" s="238">
        <v>27334</v>
      </c>
      <c r="E52" t="str">
        <f>TEXT(D52,"YYYY-MM-DD")</f>
        <v>1974-11-01</v>
      </c>
      <c r="F52" s="237">
        <f>AVERAGEIFS(B:B,C:C,D52)/100</f>
        <v>9.7880000000000009E-2</v>
      </c>
      <c r="G52" t="str">
        <f t="shared" si="1"/>
        <v>('1974-11-01',0.09788),</v>
      </c>
    </row>
    <row r="53" spans="1:7" ht="16.2" x14ac:dyDescent="0.35">
      <c r="A53" s="20">
        <v>26333</v>
      </c>
      <c r="B53" s="21">
        <v>7.35</v>
      </c>
      <c r="C53" s="238">
        <f t="shared" si="2"/>
        <v>26330</v>
      </c>
      <c r="D53" s="238">
        <v>27364</v>
      </c>
      <c r="E53" t="str">
        <f>TEXT(D53,"YYYY-MM-DD")</f>
        <v>1974-12-01</v>
      </c>
      <c r="F53" s="237">
        <f>AVERAGEIFS(B:B,C:C,D53)/100</f>
        <v>9.6149999999999999E-2</v>
      </c>
      <c r="G53" t="str">
        <f t="shared" si="1"/>
        <v>('1974-12-01',0.09615),</v>
      </c>
    </row>
    <row r="54" spans="1:7" ht="16.2" x14ac:dyDescent="0.35">
      <c r="A54" s="20">
        <v>26340</v>
      </c>
      <c r="B54" s="21">
        <v>7.33</v>
      </c>
      <c r="C54" s="238">
        <f t="shared" si="2"/>
        <v>26330</v>
      </c>
      <c r="D54" s="238">
        <v>27395</v>
      </c>
      <c r="E54" t="str">
        <f>TEXT(D54,"YYYY-MM-DD")</f>
        <v>1975-01-01</v>
      </c>
      <c r="F54" s="237">
        <f>AVERAGEIFS(B:B,C:C,D54)/100</f>
        <v>9.4319999999999987E-2</v>
      </c>
      <c r="G54" t="str">
        <f t="shared" si="1"/>
        <v>('1975-01-01',0.09432),</v>
      </c>
    </row>
    <row r="55" spans="1:7" ht="16.2" x14ac:dyDescent="0.35">
      <c r="A55" s="20">
        <v>26347</v>
      </c>
      <c r="B55" s="21">
        <v>7.31</v>
      </c>
      <c r="C55" s="238">
        <f t="shared" si="2"/>
        <v>26330</v>
      </c>
      <c r="D55" s="238">
        <v>27426</v>
      </c>
      <c r="E55" t="str">
        <f>TEXT(D55,"YYYY-MM-DD")</f>
        <v>1975-02-01</v>
      </c>
      <c r="F55" s="237">
        <f>AVERAGEIFS(B:B,C:C,D55)/100</f>
        <v>9.1050000000000006E-2</v>
      </c>
      <c r="G55" t="str">
        <f t="shared" si="1"/>
        <v>('1975-02-01',0.09105),</v>
      </c>
    </row>
    <row r="56" spans="1:7" ht="16.2" x14ac:dyDescent="0.35">
      <c r="A56" s="20">
        <v>26354</v>
      </c>
      <c r="B56" s="21">
        <v>7.31</v>
      </c>
      <c r="C56" s="238">
        <f t="shared" si="2"/>
        <v>26330</v>
      </c>
      <c r="D56" s="238">
        <v>27454</v>
      </c>
      <c r="E56" t="str">
        <f>TEXT(D56,"YYYY-MM-DD")</f>
        <v>1975-03-01</v>
      </c>
      <c r="F56" s="237">
        <f>AVERAGEIFS(B:B,C:C,D56)/100</f>
        <v>8.9024999999999993E-2</v>
      </c>
      <c r="G56" t="str">
        <f t="shared" si="1"/>
        <v>('1975-03-01',0.089025),</v>
      </c>
    </row>
    <row r="57" spans="1:7" ht="16.2" x14ac:dyDescent="0.35">
      <c r="A57" s="20">
        <v>26361</v>
      </c>
      <c r="B57" s="21">
        <v>7.32</v>
      </c>
      <c r="C57" s="238">
        <f t="shared" si="2"/>
        <v>26359</v>
      </c>
      <c r="D57" s="238">
        <v>27485</v>
      </c>
      <c r="E57" t="str">
        <f>TEXT(D57,"YYYY-MM-DD")</f>
        <v>1975-04-01</v>
      </c>
      <c r="F57" s="237">
        <f>AVERAGEIFS(B:B,C:C,D57)/100</f>
        <v>8.8200000000000001E-2</v>
      </c>
      <c r="G57" t="str">
        <f t="shared" si="1"/>
        <v>('1975-04-01',0.0882),</v>
      </c>
    </row>
    <row r="58" spans="1:7" ht="16.2" x14ac:dyDescent="0.35">
      <c r="A58" s="20">
        <v>26368</v>
      </c>
      <c r="B58" s="21">
        <v>7.32</v>
      </c>
      <c r="C58" s="238">
        <f t="shared" si="2"/>
        <v>26359</v>
      </c>
      <c r="D58" s="238">
        <v>27515</v>
      </c>
      <c r="E58" t="str">
        <f>TEXT(D58,"YYYY-MM-DD")</f>
        <v>1975-05-01</v>
      </c>
      <c r="F58" s="237">
        <f>AVERAGEIFS(B:B,C:C,D58)/100</f>
        <v>8.906E-2</v>
      </c>
      <c r="G58" t="str">
        <f t="shared" si="1"/>
        <v>('1975-05-01',0.08906),</v>
      </c>
    </row>
    <row r="59" spans="1:7" ht="16.2" x14ac:dyDescent="0.35">
      <c r="A59" s="20">
        <v>26375</v>
      </c>
      <c r="B59" s="21">
        <v>7.31</v>
      </c>
      <c r="C59" s="238">
        <f t="shared" si="2"/>
        <v>26359</v>
      </c>
      <c r="D59" s="238">
        <v>27546</v>
      </c>
      <c r="E59" t="str">
        <f>TEXT(D59,"YYYY-MM-DD")</f>
        <v>1975-06-01</v>
      </c>
      <c r="F59" s="237">
        <f>AVERAGEIFS(B:B,C:C,D59)/100</f>
        <v>8.8925000000000004E-2</v>
      </c>
      <c r="G59" t="str">
        <f t="shared" si="1"/>
        <v>('1975-06-01',0.088925),</v>
      </c>
    </row>
    <row r="60" spans="1:7" ht="16.2" x14ac:dyDescent="0.35">
      <c r="A60" s="20">
        <v>26382</v>
      </c>
      <c r="B60" s="21">
        <v>7.31</v>
      </c>
      <c r="C60" s="238">
        <f t="shared" si="2"/>
        <v>26359</v>
      </c>
      <c r="D60" s="238">
        <v>27576</v>
      </c>
      <c r="E60" t="str">
        <f>TEXT(D60,"YYYY-MM-DD")</f>
        <v>1975-07-01</v>
      </c>
      <c r="F60" s="237">
        <f>AVERAGEIFS(B:B,C:C,D60)/100</f>
        <v>8.8900000000000007E-2</v>
      </c>
      <c r="G60" t="str">
        <f t="shared" si="1"/>
        <v>('1975-07-01',0.0889),</v>
      </c>
    </row>
    <row r="61" spans="1:7" ht="16.2" x14ac:dyDescent="0.35">
      <c r="A61" s="20">
        <v>26389</v>
      </c>
      <c r="B61" s="21">
        <v>7.23</v>
      </c>
      <c r="C61" s="238">
        <f t="shared" si="2"/>
        <v>26359</v>
      </c>
      <c r="D61" s="238">
        <v>27607</v>
      </c>
      <c r="E61" t="str">
        <f>TEXT(D61,"YYYY-MM-DD")</f>
        <v>1975-08-01</v>
      </c>
      <c r="F61" s="237">
        <f>AVERAGEIFS(B:B,C:C,D61)/100</f>
        <v>8.9419999999999986E-2</v>
      </c>
      <c r="G61" t="str">
        <f t="shared" si="1"/>
        <v>('1975-08-01',0.08942),</v>
      </c>
    </row>
    <row r="62" spans="1:7" ht="16.2" x14ac:dyDescent="0.35">
      <c r="A62" s="20">
        <v>26396</v>
      </c>
      <c r="B62" s="21">
        <v>7.25</v>
      </c>
      <c r="C62" s="238">
        <f t="shared" si="2"/>
        <v>26390</v>
      </c>
      <c r="D62" s="238">
        <v>27638</v>
      </c>
      <c r="E62" t="str">
        <f>TEXT(D62,"YYYY-MM-DD")</f>
        <v>1975-09-01</v>
      </c>
      <c r="F62" s="237">
        <f>AVERAGEIFS(B:B,C:C,D62)/100</f>
        <v>9.1300000000000006E-2</v>
      </c>
      <c r="G62" t="str">
        <f t="shared" si="1"/>
        <v>('1975-09-01',0.0913),</v>
      </c>
    </row>
    <row r="63" spans="1:7" ht="16.2" x14ac:dyDescent="0.35">
      <c r="A63" s="20">
        <v>26403</v>
      </c>
      <c r="B63" s="21">
        <v>7.29</v>
      </c>
      <c r="C63" s="238">
        <f t="shared" si="2"/>
        <v>26390</v>
      </c>
      <c r="D63" s="238">
        <v>27668</v>
      </c>
      <c r="E63" t="str">
        <f>TEXT(D63,"YYYY-MM-DD")</f>
        <v>1975-10-01</v>
      </c>
      <c r="F63" s="237">
        <f>AVERAGEIFS(B:B,C:C,D63)/100</f>
        <v>9.2240000000000003E-2</v>
      </c>
      <c r="G63" t="str">
        <f t="shared" si="1"/>
        <v>('1975-10-01',0.09224),</v>
      </c>
    </row>
    <row r="64" spans="1:7" ht="16.2" x14ac:dyDescent="0.35">
      <c r="A64" s="20">
        <v>26410</v>
      </c>
      <c r="B64" s="21">
        <v>7.29</v>
      </c>
      <c r="C64" s="238">
        <f t="shared" si="2"/>
        <v>26390</v>
      </c>
      <c r="D64" s="238">
        <v>27699</v>
      </c>
      <c r="E64" t="str">
        <f>TEXT(D64,"YYYY-MM-DD")</f>
        <v>1975-11-01</v>
      </c>
      <c r="F64" s="237">
        <f>AVERAGEIFS(B:B,C:C,D64)/100</f>
        <v>9.144999999999999E-2</v>
      </c>
      <c r="G64" t="str">
        <f t="shared" si="1"/>
        <v>('1975-11-01',0.09145),</v>
      </c>
    </row>
    <row r="65" spans="1:7" ht="16.2" x14ac:dyDescent="0.35">
      <c r="A65" s="20">
        <v>26417</v>
      </c>
      <c r="B65" s="21">
        <v>7.33</v>
      </c>
      <c r="C65" s="238">
        <f t="shared" si="2"/>
        <v>26390</v>
      </c>
      <c r="D65" s="238">
        <v>27729</v>
      </c>
      <c r="E65" t="str">
        <f>TEXT(D65,"YYYY-MM-DD")</f>
        <v>1975-12-01</v>
      </c>
      <c r="F65" s="237">
        <f>AVERAGEIFS(B:B,C:C,D65)/100</f>
        <v>9.0975E-2</v>
      </c>
      <c r="G65" t="str">
        <f t="shared" si="1"/>
        <v>('1975-12-01',0.090975),</v>
      </c>
    </row>
    <row r="66" spans="1:7" ht="16.2" x14ac:dyDescent="0.35">
      <c r="A66" s="20">
        <v>26424</v>
      </c>
      <c r="B66" s="21">
        <v>7.33</v>
      </c>
      <c r="C66" s="238">
        <f t="shared" si="2"/>
        <v>26420</v>
      </c>
      <c r="D66" s="238">
        <v>27760</v>
      </c>
      <c r="E66" t="str">
        <f>TEXT(D66,"YYYY-MM-DD")</f>
        <v>1976-01-01</v>
      </c>
      <c r="F66" s="237">
        <f>AVERAGEIFS(B:B,C:C,D66)/100</f>
        <v>9.0160000000000004E-2</v>
      </c>
      <c r="G66" t="str">
        <f t="shared" si="1"/>
        <v>('1976-01-01',0.09016),</v>
      </c>
    </row>
    <row r="67" spans="1:7" ht="16.2" x14ac:dyDescent="0.35">
      <c r="A67" s="20">
        <v>26431</v>
      </c>
      <c r="B67" s="21">
        <v>7.38</v>
      </c>
      <c r="C67" s="238">
        <f t="shared" si="2"/>
        <v>26420</v>
      </c>
      <c r="D67" s="238">
        <v>27791</v>
      </c>
      <c r="E67" t="str">
        <f>TEXT(D67,"YYYY-MM-DD")</f>
        <v>1976-02-01</v>
      </c>
      <c r="F67" s="237">
        <f>AVERAGEIFS(B:B,C:C,D67)/100</f>
        <v>8.8124999999999995E-2</v>
      </c>
      <c r="G67" t="str">
        <f t="shared" si="1"/>
        <v>('1976-02-01',0.088125),</v>
      </c>
    </row>
    <row r="68" spans="1:7" ht="16.2" x14ac:dyDescent="0.35">
      <c r="A68" s="20">
        <v>26438</v>
      </c>
      <c r="B68" s="21">
        <v>7.38</v>
      </c>
      <c r="C68" s="238">
        <f t="shared" si="2"/>
        <v>26420</v>
      </c>
      <c r="D68" s="238">
        <v>27820</v>
      </c>
      <c r="E68" t="str">
        <f>TEXT(D68,"YYYY-MM-DD")</f>
        <v>1976-03-01</v>
      </c>
      <c r="F68" s="237">
        <f>AVERAGEIFS(B:B,C:C,D68)/100</f>
        <v>8.7549999999999989E-2</v>
      </c>
      <c r="G68" t="str">
        <f t="shared" si="1"/>
        <v>('1976-03-01',0.08755),</v>
      </c>
    </row>
    <row r="69" spans="1:7" ht="16.2" x14ac:dyDescent="0.35">
      <c r="A69" s="20">
        <v>26445</v>
      </c>
      <c r="B69" s="21">
        <v>7.4</v>
      </c>
      <c r="C69" s="238">
        <f t="shared" si="2"/>
        <v>26420</v>
      </c>
      <c r="D69" s="238">
        <v>27851</v>
      </c>
      <c r="E69" t="str">
        <f>TEXT(D69,"YYYY-MM-DD")</f>
        <v>1976-04-01</v>
      </c>
      <c r="F69" s="237">
        <f>AVERAGEIFS(B:B,C:C,D69)/100</f>
        <v>8.7300000000000003E-2</v>
      </c>
      <c r="G69" t="str">
        <f t="shared" si="1"/>
        <v>('1976-04-01',0.0873),</v>
      </c>
    </row>
    <row r="70" spans="1:7" ht="16.2" x14ac:dyDescent="0.35">
      <c r="A70" s="20">
        <v>26452</v>
      </c>
      <c r="B70" s="21">
        <v>7.36</v>
      </c>
      <c r="C70" s="238">
        <f t="shared" si="2"/>
        <v>26451</v>
      </c>
      <c r="D70" s="238">
        <v>27881</v>
      </c>
      <c r="E70" t="str">
        <f>TEXT(D70,"YYYY-MM-DD")</f>
        <v>1976-05-01</v>
      </c>
      <c r="F70" s="237">
        <f>AVERAGEIFS(B:B,C:C,D70)/100</f>
        <v>8.7650000000000006E-2</v>
      </c>
      <c r="G70" t="str">
        <f t="shared" si="1"/>
        <v>('1976-05-01',0.08765),</v>
      </c>
    </row>
    <row r="71" spans="1:7" ht="16.2" x14ac:dyDescent="0.35">
      <c r="A71" s="20">
        <v>26459</v>
      </c>
      <c r="B71" s="21">
        <v>7.38</v>
      </c>
      <c r="C71" s="238">
        <f t="shared" si="2"/>
        <v>26451</v>
      </c>
      <c r="D71" s="238">
        <v>27912</v>
      </c>
      <c r="E71" t="str">
        <f>TEXT(D71,"YYYY-MM-DD")</f>
        <v>1976-06-01</v>
      </c>
      <c r="F71" s="237">
        <f>AVERAGEIFS(B:B,C:C,D71)/100</f>
        <v>8.8474999999999998E-2</v>
      </c>
      <c r="G71" t="str">
        <f t="shared" si="1"/>
        <v>('1976-06-01',0.088475),</v>
      </c>
    </row>
    <row r="72" spans="1:7" ht="16.2" x14ac:dyDescent="0.35">
      <c r="A72" s="20">
        <v>26466</v>
      </c>
      <c r="B72" s="21">
        <v>7.38</v>
      </c>
      <c r="C72" s="238">
        <f t="shared" si="2"/>
        <v>26451</v>
      </c>
      <c r="D72" s="238">
        <v>27942</v>
      </c>
      <c r="E72" t="str">
        <f>TEXT(D72,"YYYY-MM-DD")</f>
        <v>1976-07-01</v>
      </c>
      <c r="F72" s="237">
        <f>AVERAGEIFS(B:B,C:C,D72)/100</f>
        <v>8.9340000000000017E-2</v>
      </c>
      <c r="G72" t="str">
        <f t="shared" si="1"/>
        <v>('1976-07-01',0.08934),</v>
      </c>
    </row>
    <row r="73" spans="1:7" ht="16.2" x14ac:dyDescent="0.35">
      <c r="A73" s="20">
        <v>26473</v>
      </c>
      <c r="B73" s="21">
        <v>7.36</v>
      </c>
      <c r="C73" s="238">
        <f t="shared" si="2"/>
        <v>26451</v>
      </c>
      <c r="D73" s="238">
        <v>27973</v>
      </c>
      <c r="E73" t="str">
        <f>TEXT(D73,"YYYY-MM-DD")</f>
        <v>1976-08-01</v>
      </c>
      <c r="F73" s="237">
        <f>AVERAGEIFS(B:B,C:C,D73)/100</f>
        <v>0.09</v>
      </c>
      <c r="G73" t="str">
        <f t="shared" si="1"/>
        <v>('1976-08-01',0.09),</v>
      </c>
    </row>
    <row r="74" spans="1:7" ht="16.2" x14ac:dyDescent="0.35">
      <c r="A74" s="20">
        <v>26480</v>
      </c>
      <c r="B74" s="21">
        <v>7.38</v>
      </c>
      <c r="C74" s="238">
        <f t="shared" si="2"/>
        <v>26451</v>
      </c>
      <c r="D74" s="238">
        <v>28004</v>
      </c>
      <c r="E74" t="str">
        <f>TEXT(D74,"YYYY-MM-DD")</f>
        <v>1976-09-01</v>
      </c>
      <c r="F74" s="237">
        <f>AVERAGEIFS(B:B,C:C,D74)/100</f>
        <v>8.9774999999999994E-2</v>
      </c>
      <c r="G74" t="str">
        <f t="shared" si="1"/>
        <v>('1976-09-01',0.089775),</v>
      </c>
    </row>
    <row r="75" spans="1:7" ht="16.2" x14ac:dyDescent="0.35">
      <c r="A75" s="20">
        <v>26487</v>
      </c>
      <c r="B75" s="21">
        <v>7.38</v>
      </c>
      <c r="C75" s="238">
        <f t="shared" si="2"/>
        <v>26481</v>
      </c>
      <c r="D75" s="238">
        <v>28034</v>
      </c>
      <c r="E75" t="str">
        <f>TEXT(D75,"YYYY-MM-DD")</f>
        <v>1976-10-01</v>
      </c>
      <c r="F75" s="237">
        <f>AVERAGEIFS(B:B,C:C,D75)/100</f>
        <v>8.929999999999999E-2</v>
      </c>
      <c r="G75" t="str">
        <f t="shared" ref="G75:G138" si="3">"('"&amp;E75&amp;"',"&amp;F75&amp;")"&amp;IF(LEN(E76)+LEN(F76)&gt;0,",",";")</f>
        <v>('1976-10-01',0.0893),</v>
      </c>
    </row>
    <row r="76" spans="1:7" ht="16.2" x14ac:dyDescent="0.35">
      <c r="A76" s="20">
        <v>26494</v>
      </c>
      <c r="B76" s="21">
        <v>7.4</v>
      </c>
      <c r="C76" s="238">
        <f t="shared" si="2"/>
        <v>26481</v>
      </c>
      <c r="D76" s="238">
        <v>28065</v>
      </c>
      <c r="E76" t="str">
        <f>TEXT(D76,"YYYY-MM-DD")</f>
        <v>1976-11-01</v>
      </c>
      <c r="F76" s="237">
        <f>AVERAGEIFS(B:B,C:C,D76)/100</f>
        <v>8.8124999999999995E-2</v>
      </c>
      <c r="G76" t="str">
        <f t="shared" si="3"/>
        <v>('1976-11-01',0.088125),</v>
      </c>
    </row>
    <row r="77" spans="1:7" ht="16.2" x14ac:dyDescent="0.35">
      <c r="A77" s="20">
        <v>26501</v>
      </c>
      <c r="B77" s="21">
        <v>7.4</v>
      </c>
      <c r="C77" s="238">
        <f t="shared" si="2"/>
        <v>26481</v>
      </c>
      <c r="D77" s="238">
        <v>28095</v>
      </c>
      <c r="E77" t="str">
        <f>TEXT(D77,"YYYY-MM-DD")</f>
        <v>1976-12-01</v>
      </c>
      <c r="F77" s="237">
        <f>AVERAGEIFS(B:B,C:C,D77)/100</f>
        <v>8.7919999999999998E-2</v>
      </c>
      <c r="G77" t="str">
        <f t="shared" si="3"/>
        <v>('1976-12-01',0.08792),</v>
      </c>
    </row>
    <row r="78" spans="1:7" ht="16.2" x14ac:dyDescent="0.35">
      <c r="A78" s="20">
        <v>26508</v>
      </c>
      <c r="B78" s="21">
        <v>7.4</v>
      </c>
      <c r="C78" s="238">
        <f t="shared" si="2"/>
        <v>26481</v>
      </c>
      <c r="D78" s="238">
        <v>28126</v>
      </c>
      <c r="E78" t="str">
        <f>TEXT(D78,"YYYY-MM-DD")</f>
        <v>1977-01-01</v>
      </c>
      <c r="F78" s="237">
        <f>AVERAGEIFS(B:B,C:C,D78)/100</f>
        <v>8.7224999999999997E-2</v>
      </c>
      <c r="G78" t="str">
        <f t="shared" si="3"/>
        <v>('1977-01-01',0.087225),</v>
      </c>
    </row>
    <row r="79" spans="1:7" ht="16.2" x14ac:dyDescent="0.35">
      <c r="A79" s="20">
        <v>26515</v>
      </c>
      <c r="B79" s="21">
        <v>7.35</v>
      </c>
      <c r="C79" s="238">
        <f t="shared" si="2"/>
        <v>26512</v>
      </c>
      <c r="D79" s="238">
        <v>28157</v>
      </c>
      <c r="E79" t="str">
        <f>TEXT(D79,"YYYY-MM-DD")</f>
        <v>1977-02-01</v>
      </c>
      <c r="F79" s="237">
        <f>AVERAGEIFS(B:B,C:C,D79)/100</f>
        <v>8.6699999999999999E-2</v>
      </c>
      <c r="G79" t="str">
        <f t="shared" si="3"/>
        <v>('1977-02-01',0.0867),</v>
      </c>
    </row>
    <row r="80" spans="1:7" ht="16.2" x14ac:dyDescent="0.35">
      <c r="A80" s="20">
        <v>26522</v>
      </c>
      <c r="B80" s="21">
        <v>7.41</v>
      </c>
      <c r="C80" s="238">
        <f t="shared" ref="C80:C143" si="4">EOMONTH(A80,-1)+1</f>
        <v>26512</v>
      </c>
      <c r="D80" s="238">
        <v>28185</v>
      </c>
      <c r="E80" t="str">
        <f>TEXT(D80,"YYYY-MM-DD")</f>
        <v>1977-03-01</v>
      </c>
      <c r="F80" s="237">
        <f>AVERAGEIFS(B:B,C:C,D80)/100</f>
        <v>8.6874999999999994E-2</v>
      </c>
      <c r="G80" t="str">
        <f t="shared" si="3"/>
        <v>('1977-03-01',0.086875),</v>
      </c>
    </row>
    <row r="81" spans="1:7" ht="16.2" x14ac:dyDescent="0.35">
      <c r="A81" s="20">
        <v>26529</v>
      </c>
      <c r="B81" s="21">
        <v>7.42</v>
      </c>
      <c r="C81" s="238">
        <f t="shared" si="4"/>
        <v>26512</v>
      </c>
      <c r="D81" s="238">
        <v>28216</v>
      </c>
      <c r="E81" t="str">
        <f>TEXT(D81,"YYYY-MM-DD")</f>
        <v>1977-04-01</v>
      </c>
      <c r="F81" s="237">
        <f>AVERAGEIFS(B:B,C:C,D81)/100</f>
        <v>8.7519999999999987E-2</v>
      </c>
      <c r="G81" t="str">
        <f t="shared" si="3"/>
        <v>('1977-04-01',0.08752),</v>
      </c>
    </row>
    <row r="82" spans="1:7" ht="16.2" x14ac:dyDescent="0.35">
      <c r="A82" s="20">
        <v>26536</v>
      </c>
      <c r="B82" s="21">
        <v>7.42</v>
      </c>
      <c r="C82" s="238">
        <f t="shared" si="4"/>
        <v>26512</v>
      </c>
      <c r="D82" s="238">
        <v>28246</v>
      </c>
      <c r="E82" t="str">
        <f>TEXT(D82,"YYYY-MM-DD")</f>
        <v>1977-05-01</v>
      </c>
      <c r="F82" s="237">
        <f>AVERAGEIFS(B:B,C:C,D82)/100</f>
        <v>8.8275000000000006E-2</v>
      </c>
      <c r="G82" t="str">
        <f t="shared" si="3"/>
        <v>('1977-05-01',0.088275),</v>
      </c>
    </row>
    <row r="83" spans="1:7" ht="16.2" x14ac:dyDescent="0.35">
      <c r="A83" s="20">
        <v>26543</v>
      </c>
      <c r="B83" s="21">
        <v>7.42</v>
      </c>
      <c r="C83" s="238">
        <f t="shared" si="4"/>
        <v>26543</v>
      </c>
      <c r="D83" s="238">
        <v>28277</v>
      </c>
      <c r="E83" t="str">
        <f>TEXT(D83,"YYYY-MM-DD")</f>
        <v>1977-06-01</v>
      </c>
      <c r="F83" s="237">
        <f>AVERAGEIFS(B:B,C:C,D83)/100</f>
        <v>8.8575000000000001E-2</v>
      </c>
      <c r="G83" t="str">
        <f t="shared" si="3"/>
        <v>('1977-06-01',0.088575),</v>
      </c>
    </row>
    <row r="84" spans="1:7" ht="16.2" x14ac:dyDescent="0.35">
      <c r="A84" s="20">
        <v>26550</v>
      </c>
      <c r="B84" s="21">
        <v>7.42</v>
      </c>
      <c r="C84" s="238">
        <f t="shared" si="4"/>
        <v>26543</v>
      </c>
      <c r="D84" s="238">
        <v>28307</v>
      </c>
      <c r="E84" t="str">
        <f>TEXT(D84,"YYYY-MM-DD")</f>
        <v>1977-07-01</v>
      </c>
      <c r="F84" s="237">
        <f>AVERAGEIFS(B:B,C:C,D84)/100</f>
        <v>8.9419999999999999E-2</v>
      </c>
      <c r="G84" t="str">
        <f t="shared" si="3"/>
        <v>('1977-07-01',0.08942),</v>
      </c>
    </row>
    <row r="85" spans="1:7" ht="16.2" x14ac:dyDescent="0.35">
      <c r="A85" s="20">
        <v>26557</v>
      </c>
      <c r="B85" s="21">
        <v>7.42</v>
      </c>
      <c r="C85" s="238">
        <f t="shared" si="4"/>
        <v>26543</v>
      </c>
      <c r="D85" s="238">
        <v>28338</v>
      </c>
      <c r="E85" t="str">
        <f>TEXT(D85,"YYYY-MM-DD")</f>
        <v>1977-08-01</v>
      </c>
      <c r="F85" s="237">
        <f>AVERAGEIFS(B:B,C:C,D85)/100</f>
        <v>8.9399999999999993E-2</v>
      </c>
      <c r="G85" t="str">
        <f t="shared" si="3"/>
        <v>('1977-08-01',0.0894),</v>
      </c>
    </row>
    <row r="86" spans="1:7" ht="16.2" x14ac:dyDescent="0.35">
      <c r="A86" s="20">
        <v>26564</v>
      </c>
      <c r="B86" s="21">
        <v>7.41</v>
      </c>
      <c r="C86" s="238">
        <f t="shared" si="4"/>
        <v>26543</v>
      </c>
      <c r="D86" s="238">
        <v>28369</v>
      </c>
      <c r="E86" t="str">
        <f>TEXT(D86,"YYYY-MM-DD")</f>
        <v>1977-09-01</v>
      </c>
      <c r="F86" s="237">
        <f>AVERAGEIFS(B:B,C:C,D86)/100</f>
        <v>8.8959999999999984E-2</v>
      </c>
      <c r="G86" t="str">
        <f t="shared" si="3"/>
        <v>('1977-09-01',0.08896),</v>
      </c>
    </row>
    <row r="87" spans="1:7" ht="16.2" x14ac:dyDescent="0.35">
      <c r="A87" s="20">
        <v>26571</v>
      </c>
      <c r="B87" s="21">
        <v>7.43</v>
      </c>
      <c r="C87" s="238">
        <f t="shared" si="4"/>
        <v>26543</v>
      </c>
      <c r="D87" s="238">
        <v>28399</v>
      </c>
      <c r="E87" t="str">
        <f>TEXT(D87,"YYYY-MM-DD")</f>
        <v>1977-10-01</v>
      </c>
      <c r="F87" s="237">
        <f>AVERAGEIFS(B:B,C:C,D87)/100</f>
        <v>8.9224999999999999E-2</v>
      </c>
      <c r="G87" t="str">
        <f t="shared" si="3"/>
        <v>('1977-10-01',0.089225),</v>
      </c>
    </row>
    <row r="88" spans="1:7" ht="16.2" x14ac:dyDescent="0.35">
      <c r="A88" s="20">
        <v>26578</v>
      </c>
      <c r="B88" s="21">
        <v>7.41</v>
      </c>
      <c r="C88" s="238">
        <f t="shared" si="4"/>
        <v>26573</v>
      </c>
      <c r="D88" s="238">
        <v>28430</v>
      </c>
      <c r="E88" t="str">
        <f>TEXT(D88,"YYYY-MM-DD")</f>
        <v>1977-11-01</v>
      </c>
      <c r="F88" s="237">
        <f>AVERAGEIFS(B:B,C:C,D88)/100</f>
        <v>8.9224999999999999E-2</v>
      </c>
      <c r="G88" t="str">
        <f t="shared" si="3"/>
        <v>('1977-11-01',0.089225),</v>
      </c>
    </row>
    <row r="89" spans="1:7" ht="16.2" x14ac:dyDescent="0.35">
      <c r="A89" s="20">
        <v>26585</v>
      </c>
      <c r="B89" s="21">
        <v>7.41</v>
      </c>
      <c r="C89" s="238">
        <f t="shared" si="4"/>
        <v>26573</v>
      </c>
      <c r="D89" s="238">
        <v>28460</v>
      </c>
      <c r="E89" t="str">
        <f>TEXT(D89,"YYYY-MM-DD")</f>
        <v>1977-12-01</v>
      </c>
      <c r="F89" s="237">
        <f>AVERAGEIFS(B:B,C:C,D89)/100</f>
        <v>8.9599999999999985E-2</v>
      </c>
      <c r="G89" t="str">
        <f t="shared" si="3"/>
        <v>('1977-12-01',0.0896),</v>
      </c>
    </row>
    <row r="90" spans="1:7" ht="16.2" x14ac:dyDescent="0.35">
      <c r="A90" s="20">
        <v>26592</v>
      </c>
      <c r="B90" s="21">
        <v>7.44</v>
      </c>
      <c r="C90" s="238">
        <f t="shared" si="4"/>
        <v>26573</v>
      </c>
      <c r="D90" s="238">
        <v>28491</v>
      </c>
      <c r="E90" t="str">
        <f>TEXT(D90,"YYYY-MM-DD")</f>
        <v>1978-01-01</v>
      </c>
      <c r="F90" s="237">
        <f>AVERAGEIFS(B:B,C:C,D90)/100</f>
        <v>9.0150000000000008E-2</v>
      </c>
      <c r="G90" t="str">
        <f t="shared" si="3"/>
        <v>('1978-01-01',0.09015),</v>
      </c>
    </row>
    <row r="91" spans="1:7" ht="16.2" x14ac:dyDescent="0.35">
      <c r="A91" s="20">
        <v>26599</v>
      </c>
      <c r="B91" s="21">
        <v>7.42</v>
      </c>
      <c r="C91" s="238">
        <f t="shared" si="4"/>
        <v>26573</v>
      </c>
      <c r="D91" s="238">
        <v>28522</v>
      </c>
      <c r="E91" t="str">
        <f>TEXT(D91,"YYYY-MM-DD")</f>
        <v>1978-02-01</v>
      </c>
      <c r="F91" s="237">
        <f>AVERAGEIFS(B:B,C:C,D91)/100</f>
        <v>9.144999999999999E-2</v>
      </c>
      <c r="G91" t="str">
        <f t="shared" si="3"/>
        <v>('1978-02-01',0.09145),</v>
      </c>
    </row>
    <row r="92" spans="1:7" ht="16.2" x14ac:dyDescent="0.35">
      <c r="A92" s="20">
        <v>26606</v>
      </c>
      <c r="B92" s="21">
        <v>7.43</v>
      </c>
      <c r="C92" s="238">
        <f t="shared" si="4"/>
        <v>26604</v>
      </c>
      <c r="D92" s="238">
        <v>28550</v>
      </c>
      <c r="E92" t="str">
        <f>TEXT(D92,"YYYY-MM-DD")</f>
        <v>1978-03-01</v>
      </c>
      <c r="F92" s="237">
        <f>AVERAGEIFS(B:B,C:C,D92)/100</f>
        <v>9.2020000000000018E-2</v>
      </c>
      <c r="G92" t="str">
        <f t="shared" si="3"/>
        <v>('1978-03-01',0.09202),</v>
      </c>
    </row>
    <row r="93" spans="1:7" ht="16.2" x14ac:dyDescent="0.35">
      <c r="A93" s="20">
        <v>26613</v>
      </c>
      <c r="B93" s="21">
        <v>7.42</v>
      </c>
      <c r="C93" s="238">
        <f t="shared" si="4"/>
        <v>26604</v>
      </c>
      <c r="D93" s="238">
        <v>28581</v>
      </c>
      <c r="E93" t="str">
        <f>TEXT(D93,"YYYY-MM-DD")</f>
        <v>1978-04-01</v>
      </c>
      <c r="F93" s="237">
        <f>AVERAGEIFS(B:B,C:C,D93)/100</f>
        <v>9.3550000000000008E-2</v>
      </c>
      <c r="G93" t="str">
        <f t="shared" si="3"/>
        <v>('1978-04-01',0.09355),</v>
      </c>
    </row>
    <row r="94" spans="1:7" ht="16.2" x14ac:dyDescent="0.35">
      <c r="A94" s="20">
        <v>26620</v>
      </c>
      <c r="B94" s="21">
        <v>7.42</v>
      </c>
      <c r="C94" s="238">
        <f t="shared" si="4"/>
        <v>26604</v>
      </c>
      <c r="D94" s="238">
        <v>28611</v>
      </c>
      <c r="E94" t="str">
        <f>TEXT(D94,"YYYY-MM-DD")</f>
        <v>1978-05-01</v>
      </c>
      <c r="F94" s="237">
        <f>AVERAGEIFS(B:B,C:C,D94)/100</f>
        <v>9.5725000000000005E-2</v>
      </c>
      <c r="G94" t="str">
        <f t="shared" si="3"/>
        <v>('1978-05-01',0.095725),</v>
      </c>
    </row>
    <row r="95" spans="1:7" ht="16.2" x14ac:dyDescent="0.35">
      <c r="A95" s="20">
        <v>26627</v>
      </c>
      <c r="B95" s="21">
        <v>7.44</v>
      </c>
      <c r="C95" s="238">
        <f t="shared" si="4"/>
        <v>26604</v>
      </c>
      <c r="D95" s="238">
        <v>28642</v>
      </c>
      <c r="E95" t="str">
        <f>TEXT(D95,"YYYY-MM-DD")</f>
        <v>1978-06-01</v>
      </c>
      <c r="F95" s="237">
        <f>AVERAGEIFS(B:B,C:C,D95)/100</f>
        <v>9.7080000000000014E-2</v>
      </c>
      <c r="G95" t="str">
        <f t="shared" si="3"/>
        <v>('1978-06-01',0.09708),</v>
      </c>
    </row>
    <row r="96" spans="1:7" ht="16.2" x14ac:dyDescent="0.35">
      <c r="A96" s="20">
        <v>26634</v>
      </c>
      <c r="B96" s="21">
        <v>7.45</v>
      </c>
      <c r="C96" s="238">
        <f t="shared" si="4"/>
        <v>26634</v>
      </c>
      <c r="D96" s="238">
        <v>28672</v>
      </c>
      <c r="E96" t="str">
        <f>TEXT(D96,"YYYY-MM-DD")</f>
        <v>1978-07-01</v>
      </c>
      <c r="F96" s="237">
        <f>AVERAGEIFS(B:B,C:C,D96)/100</f>
        <v>9.74E-2</v>
      </c>
      <c r="G96" t="str">
        <f t="shared" si="3"/>
        <v>('1978-07-01',0.0974),</v>
      </c>
    </row>
    <row r="97" spans="1:7" ht="16.2" x14ac:dyDescent="0.35">
      <c r="A97" s="20">
        <v>26641</v>
      </c>
      <c r="B97" s="21">
        <v>7.43</v>
      </c>
      <c r="C97" s="238">
        <f t="shared" si="4"/>
        <v>26634</v>
      </c>
      <c r="D97" s="238">
        <v>28703</v>
      </c>
      <c r="E97" t="str">
        <f>TEXT(D97,"YYYY-MM-DD")</f>
        <v>1978-08-01</v>
      </c>
      <c r="F97" s="237">
        <f>AVERAGEIFS(B:B,C:C,D97)/100</f>
        <v>9.7850000000000006E-2</v>
      </c>
      <c r="G97" t="str">
        <f t="shared" si="3"/>
        <v>('1978-08-01',0.09785),</v>
      </c>
    </row>
    <row r="98" spans="1:7" ht="16.2" x14ac:dyDescent="0.35">
      <c r="A98" s="20">
        <v>26648</v>
      </c>
      <c r="B98" s="21">
        <v>7.43</v>
      </c>
      <c r="C98" s="238">
        <f t="shared" si="4"/>
        <v>26634</v>
      </c>
      <c r="D98" s="238">
        <v>28734</v>
      </c>
      <c r="E98" t="str">
        <f>TEXT(D98,"YYYY-MM-DD")</f>
        <v>1978-09-01</v>
      </c>
      <c r="F98" s="237">
        <f>AVERAGEIFS(B:B,C:C,D98)/100</f>
        <v>9.7560000000000008E-2</v>
      </c>
      <c r="G98" t="str">
        <f t="shared" si="3"/>
        <v>('1978-09-01',0.09756),</v>
      </c>
    </row>
    <row r="99" spans="1:7" ht="16.2" x14ac:dyDescent="0.35">
      <c r="A99" s="20">
        <v>26655</v>
      </c>
      <c r="B99" s="21">
        <v>7.45</v>
      </c>
      <c r="C99" s="238">
        <f t="shared" si="4"/>
        <v>26634</v>
      </c>
      <c r="D99" s="238">
        <v>28764</v>
      </c>
      <c r="E99" t="str">
        <f>TEXT(D99,"YYYY-MM-DD")</f>
        <v>1978-10-01</v>
      </c>
      <c r="F99" s="237">
        <f>AVERAGEIFS(B:B,C:C,D99)/100</f>
        <v>9.8574999999999996E-2</v>
      </c>
      <c r="G99" t="str">
        <f t="shared" si="3"/>
        <v>('1978-10-01',0.098575),</v>
      </c>
    </row>
    <row r="100" spans="1:7" ht="16.2" x14ac:dyDescent="0.35">
      <c r="A100" s="20">
        <v>26662</v>
      </c>
      <c r="B100" s="21">
        <v>7.45</v>
      </c>
      <c r="C100" s="238">
        <f t="shared" si="4"/>
        <v>26634</v>
      </c>
      <c r="D100" s="238">
        <v>28795</v>
      </c>
      <c r="E100" t="str">
        <f>TEXT(D100,"YYYY-MM-DD")</f>
        <v>1978-11-01</v>
      </c>
      <c r="F100" s="237">
        <f>AVERAGEIFS(B:B,C:C,D100)/100</f>
        <v>0.101075</v>
      </c>
      <c r="G100" t="str">
        <f t="shared" si="3"/>
        <v>('1978-11-01',0.101075),</v>
      </c>
    </row>
    <row r="101" spans="1:7" ht="16.2" x14ac:dyDescent="0.35">
      <c r="A101" s="20">
        <v>26669</v>
      </c>
      <c r="B101" s="21">
        <v>7.44</v>
      </c>
      <c r="C101" s="238">
        <f t="shared" si="4"/>
        <v>26665</v>
      </c>
      <c r="D101" s="238">
        <v>28825</v>
      </c>
      <c r="E101" t="str">
        <f>TEXT(D101,"YYYY-MM-DD")</f>
        <v>1978-12-01</v>
      </c>
      <c r="F101" s="237">
        <f>AVERAGEIFS(B:B,C:C,D101)/100</f>
        <v>0.10346</v>
      </c>
      <c r="G101" t="str">
        <f t="shared" si="3"/>
        <v>('1978-12-01',0.10346),</v>
      </c>
    </row>
    <row r="102" spans="1:7" ht="16.2" x14ac:dyDescent="0.35">
      <c r="A102" s="20">
        <v>26676</v>
      </c>
      <c r="B102" s="21">
        <v>7.44</v>
      </c>
      <c r="C102" s="238">
        <f t="shared" si="4"/>
        <v>26665</v>
      </c>
      <c r="D102" s="238">
        <v>28856</v>
      </c>
      <c r="E102" t="str">
        <f>TEXT(D102,"YYYY-MM-DD")</f>
        <v>1979-01-01</v>
      </c>
      <c r="F102" s="237">
        <f>AVERAGEIFS(B:B,C:C,D102)/100</f>
        <v>0.10390000000000001</v>
      </c>
      <c r="G102" t="str">
        <f t="shared" si="3"/>
        <v>('1979-01-01',0.1039),</v>
      </c>
    </row>
    <row r="103" spans="1:7" ht="16.2" x14ac:dyDescent="0.35">
      <c r="A103" s="20">
        <v>26683</v>
      </c>
      <c r="B103" s="21">
        <v>7.44</v>
      </c>
      <c r="C103" s="238">
        <f t="shared" si="4"/>
        <v>26665</v>
      </c>
      <c r="D103" s="238">
        <v>28887</v>
      </c>
      <c r="E103" t="str">
        <f>TEXT(D103,"YYYY-MM-DD")</f>
        <v>1979-02-01</v>
      </c>
      <c r="F103" s="237">
        <f>AVERAGEIFS(B:B,C:C,D103)/100</f>
        <v>0.10407499999999999</v>
      </c>
      <c r="G103" t="str">
        <f t="shared" si="3"/>
        <v>('1979-02-01',0.104075),</v>
      </c>
    </row>
    <row r="104" spans="1:7" ht="16.2" x14ac:dyDescent="0.35">
      <c r="A104" s="20">
        <v>26690</v>
      </c>
      <c r="B104" s="21">
        <v>7.43</v>
      </c>
      <c r="C104" s="238">
        <f t="shared" si="4"/>
        <v>26665</v>
      </c>
      <c r="D104" s="238">
        <v>28915</v>
      </c>
      <c r="E104" t="str">
        <f>TEXT(D104,"YYYY-MM-DD")</f>
        <v>1979-03-01</v>
      </c>
      <c r="F104" s="237">
        <f>AVERAGEIFS(B:B,C:C,D104)/100</f>
        <v>0.10425999999999998</v>
      </c>
      <c r="G104" t="str">
        <f t="shared" si="3"/>
        <v>('1979-03-01',0.10426),</v>
      </c>
    </row>
    <row r="105" spans="1:7" ht="16.2" x14ac:dyDescent="0.35">
      <c r="A105" s="20">
        <v>26697</v>
      </c>
      <c r="B105" s="21">
        <v>7.43</v>
      </c>
      <c r="C105" s="238">
        <f t="shared" si="4"/>
        <v>26696</v>
      </c>
      <c r="D105" s="238">
        <v>28946</v>
      </c>
      <c r="E105" t="str">
        <f>TEXT(D105,"YYYY-MM-DD")</f>
        <v>1979-04-01</v>
      </c>
      <c r="F105" s="237">
        <f>AVERAGEIFS(B:B,C:C,D105)/100</f>
        <v>0.104975</v>
      </c>
      <c r="G105" t="str">
        <f t="shared" si="3"/>
        <v>('1979-04-01',0.104975),</v>
      </c>
    </row>
    <row r="106" spans="1:7" ht="16.2" x14ac:dyDescent="0.35">
      <c r="A106" s="20">
        <v>26704</v>
      </c>
      <c r="B106" s="21">
        <v>7.43</v>
      </c>
      <c r="C106" s="238">
        <f t="shared" si="4"/>
        <v>26696</v>
      </c>
      <c r="D106" s="238">
        <v>28976</v>
      </c>
      <c r="E106" t="str">
        <f>TEXT(D106,"YYYY-MM-DD")</f>
        <v>1979-05-01</v>
      </c>
      <c r="F106" s="237">
        <f>AVERAGEIFS(B:B,C:C,D106)/100</f>
        <v>0.10690000000000001</v>
      </c>
      <c r="G106" t="str">
        <f t="shared" si="3"/>
        <v>('1979-05-01',0.1069),</v>
      </c>
    </row>
    <row r="107" spans="1:7" ht="16.2" x14ac:dyDescent="0.35">
      <c r="A107" s="20">
        <v>26711</v>
      </c>
      <c r="B107" s="21">
        <v>7.45</v>
      </c>
      <c r="C107" s="238">
        <f t="shared" si="4"/>
        <v>26696</v>
      </c>
      <c r="D107" s="238">
        <v>29007</v>
      </c>
      <c r="E107" t="str">
        <f>TEXT(D107,"YYYY-MM-DD")</f>
        <v>1979-06-01</v>
      </c>
      <c r="F107" s="237">
        <f>AVERAGEIFS(B:B,C:C,D107)/100</f>
        <v>0.11036000000000001</v>
      </c>
      <c r="G107" t="str">
        <f t="shared" si="3"/>
        <v>('1979-06-01',0.11036),</v>
      </c>
    </row>
    <row r="108" spans="1:7" ht="16.2" x14ac:dyDescent="0.35">
      <c r="A108" s="20">
        <v>26718</v>
      </c>
      <c r="B108" s="21">
        <v>7.45</v>
      </c>
      <c r="C108" s="238">
        <f t="shared" si="4"/>
        <v>26696</v>
      </c>
      <c r="D108" s="238">
        <v>29037</v>
      </c>
      <c r="E108" t="str">
        <f>TEXT(D108,"YYYY-MM-DD")</f>
        <v>1979-07-01</v>
      </c>
      <c r="F108" s="237">
        <f>AVERAGEIFS(B:B,C:C,D108)/100</f>
        <v>0.110925</v>
      </c>
      <c r="G108" t="str">
        <f t="shared" si="3"/>
        <v>('1979-07-01',0.110925),</v>
      </c>
    </row>
    <row r="109" spans="1:7" ht="16.2" x14ac:dyDescent="0.35">
      <c r="A109" s="20">
        <v>26725</v>
      </c>
      <c r="B109" s="21">
        <v>7.45</v>
      </c>
      <c r="C109" s="238">
        <f t="shared" si="4"/>
        <v>26724</v>
      </c>
      <c r="D109" s="238">
        <v>29068</v>
      </c>
      <c r="E109" t="str">
        <f>TEXT(D109,"YYYY-MM-DD")</f>
        <v>1979-08-01</v>
      </c>
      <c r="F109" s="237">
        <f>AVERAGEIFS(B:B,C:C,D109)/100</f>
        <v>0.11094000000000001</v>
      </c>
      <c r="G109" t="str">
        <f t="shared" si="3"/>
        <v>('1979-08-01',0.11094),</v>
      </c>
    </row>
    <row r="110" spans="1:7" ht="16.2" x14ac:dyDescent="0.35">
      <c r="A110" s="20">
        <v>26732</v>
      </c>
      <c r="B110" s="21">
        <v>7.45</v>
      </c>
      <c r="C110" s="238">
        <f t="shared" si="4"/>
        <v>26724</v>
      </c>
      <c r="D110" s="238">
        <v>29099</v>
      </c>
      <c r="E110" t="str">
        <f>TEXT(D110,"YYYY-MM-DD")</f>
        <v>1979-09-01</v>
      </c>
      <c r="F110" s="237">
        <f>AVERAGEIFS(B:B,C:C,D110)/100</f>
        <v>0.113</v>
      </c>
      <c r="G110" t="str">
        <f t="shared" si="3"/>
        <v>('1979-09-01',0.113),</v>
      </c>
    </row>
    <row r="111" spans="1:7" ht="16.2" x14ac:dyDescent="0.35">
      <c r="A111" s="20">
        <v>26739</v>
      </c>
      <c r="B111" s="21">
        <v>7.45</v>
      </c>
      <c r="C111" s="238">
        <f t="shared" si="4"/>
        <v>26724</v>
      </c>
      <c r="D111" s="238">
        <v>29129</v>
      </c>
      <c r="E111" t="str">
        <f>TEXT(D111,"YYYY-MM-DD")</f>
        <v>1979-10-01</v>
      </c>
      <c r="F111" s="237">
        <f>AVERAGEIFS(B:B,C:C,D111)/100</f>
        <v>0.11637499999999999</v>
      </c>
      <c r="G111" t="str">
        <f t="shared" si="3"/>
        <v>('1979-10-01',0.116375),</v>
      </c>
    </row>
    <row r="112" spans="1:7" ht="16.2" x14ac:dyDescent="0.35">
      <c r="A112" s="20">
        <v>26746</v>
      </c>
      <c r="B112" s="21">
        <v>7.45</v>
      </c>
      <c r="C112" s="238">
        <f t="shared" si="4"/>
        <v>26724</v>
      </c>
      <c r="D112" s="238">
        <v>29160</v>
      </c>
      <c r="E112" t="str">
        <f>TEXT(D112,"YYYY-MM-DD")</f>
        <v>1979-11-01</v>
      </c>
      <c r="F112" s="237">
        <f>AVERAGEIFS(B:B,C:C,D112)/100</f>
        <v>0.12830000000000003</v>
      </c>
      <c r="G112" t="str">
        <f t="shared" si="3"/>
        <v>('1979-11-01',0.1283),</v>
      </c>
    </row>
    <row r="113" spans="1:7" ht="16.2" x14ac:dyDescent="0.35">
      <c r="A113" s="20">
        <v>26753</v>
      </c>
      <c r="B113" s="21">
        <v>7.49</v>
      </c>
      <c r="C113" s="238">
        <f t="shared" si="4"/>
        <v>26724</v>
      </c>
      <c r="D113" s="238">
        <v>29190</v>
      </c>
      <c r="E113" t="str">
        <f>TEXT(D113,"YYYY-MM-DD")</f>
        <v>1979-12-01</v>
      </c>
      <c r="F113" s="237">
        <f>AVERAGEIFS(B:B,C:C,D113)/100</f>
        <v>0.129</v>
      </c>
      <c r="G113" t="str">
        <f t="shared" si="3"/>
        <v>('1979-12-01',0.129),</v>
      </c>
    </row>
    <row r="114" spans="1:7" ht="16.2" x14ac:dyDescent="0.35">
      <c r="A114" s="20">
        <v>26760</v>
      </c>
      <c r="B114" s="21">
        <v>7.51</v>
      </c>
      <c r="C114" s="238">
        <f t="shared" si="4"/>
        <v>26755</v>
      </c>
      <c r="D114" s="238">
        <v>29221</v>
      </c>
      <c r="E114" t="str">
        <f>TEXT(D114,"YYYY-MM-DD")</f>
        <v>1980-01-01</v>
      </c>
      <c r="F114" s="237">
        <f>AVERAGEIFS(B:B,C:C,D114)/100</f>
        <v>0.128775</v>
      </c>
      <c r="G114" t="str">
        <f t="shared" si="3"/>
        <v>('1980-01-01',0.128775),</v>
      </c>
    </row>
    <row r="115" spans="1:7" ht="16.2" x14ac:dyDescent="0.35">
      <c r="A115" s="20">
        <v>26767</v>
      </c>
      <c r="B115" s="21">
        <v>7.54</v>
      </c>
      <c r="C115" s="238">
        <f t="shared" si="4"/>
        <v>26755</v>
      </c>
      <c r="D115" s="238">
        <v>29252</v>
      </c>
      <c r="E115" t="str">
        <f>TEXT(D115,"YYYY-MM-DD")</f>
        <v>1980-02-01</v>
      </c>
      <c r="F115" s="237">
        <f>AVERAGEIFS(B:B,C:C,D115)/100</f>
        <v>0.13038</v>
      </c>
      <c r="G115" t="str">
        <f t="shared" si="3"/>
        <v>('1980-02-01',0.13038),</v>
      </c>
    </row>
    <row r="116" spans="1:7" ht="16.2" x14ac:dyDescent="0.35">
      <c r="A116" s="20">
        <v>26774</v>
      </c>
      <c r="B116" s="21">
        <v>7.56</v>
      </c>
      <c r="C116" s="238">
        <f t="shared" si="4"/>
        <v>26755</v>
      </c>
      <c r="D116" s="238">
        <v>29281</v>
      </c>
      <c r="E116" t="str">
        <f>TEXT(D116,"YYYY-MM-DD")</f>
        <v>1980-03-01</v>
      </c>
      <c r="F116" s="237">
        <f>AVERAGEIFS(B:B,C:C,D116)/100</f>
        <v>0.15281249999999999</v>
      </c>
      <c r="G116" t="str">
        <f t="shared" si="3"/>
        <v>('1980-03-01',0.1528125),</v>
      </c>
    </row>
    <row r="117" spans="1:7" ht="16.2" x14ac:dyDescent="0.35">
      <c r="A117" s="20">
        <v>26781</v>
      </c>
      <c r="B117" s="21">
        <v>7.56</v>
      </c>
      <c r="C117" s="238">
        <f t="shared" si="4"/>
        <v>26755</v>
      </c>
      <c r="D117" s="238">
        <v>29312</v>
      </c>
      <c r="E117" t="str">
        <f>TEXT(D117,"YYYY-MM-DD")</f>
        <v>1980-04-01</v>
      </c>
      <c r="F117" s="237">
        <f>AVERAGEIFS(B:B,C:C,D117)/100</f>
        <v>0.16325000000000003</v>
      </c>
      <c r="G117" t="str">
        <f t="shared" si="3"/>
        <v>('1980-04-01',0.16325),</v>
      </c>
    </row>
    <row r="118" spans="1:7" ht="16.2" x14ac:dyDescent="0.35">
      <c r="A118" s="20">
        <v>26788</v>
      </c>
      <c r="B118" s="21">
        <v>7.58</v>
      </c>
      <c r="C118" s="238">
        <f t="shared" si="4"/>
        <v>26785</v>
      </c>
      <c r="D118" s="238">
        <v>29342</v>
      </c>
      <c r="E118" t="str">
        <f>TEXT(D118,"YYYY-MM-DD")</f>
        <v>1980-05-01</v>
      </c>
      <c r="F118" s="237">
        <f>AVERAGEIFS(B:B,C:C,D118)/100</f>
        <v>0.1426</v>
      </c>
      <c r="G118" t="str">
        <f t="shared" si="3"/>
        <v>('1980-05-01',0.1426),</v>
      </c>
    </row>
    <row r="119" spans="1:7" ht="16.2" x14ac:dyDescent="0.35">
      <c r="A119" s="20">
        <v>26795</v>
      </c>
      <c r="B119" s="21">
        <v>7.64</v>
      </c>
      <c r="C119" s="238">
        <f t="shared" si="4"/>
        <v>26785</v>
      </c>
      <c r="D119" s="238">
        <v>29373</v>
      </c>
      <c r="E119" t="str">
        <f>TEXT(D119,"YYYY-MM-DD")</f>
        <v>1980-06-01</v>
      </c>
      <c r="F119" s="237">
        <f>AVERAGEIFS(B:B,C:C,D119)/100</f>
        <v>0.12708749999999999</v>
      </c>
      <c r="G119" t="str">
        <f t="shared" si="3"/>
        <v>('1980-06-01',0.1270875),</v>
      </c>
    </row>
    <row r="120" spans="1:7" ht="16.2" x14ac:dyDescent="0.35">
      <c r="A120" s="20">
        <v>26802</v>
      </c>
      <c r="B120" s="21">
        <v>7.69</v>
      </c>
      <c r="C120" s="238">
        <f t="shared" si="4"/>
        <v>26785</v>
      </c>
      <c r="D120" s="238">
        <v>29403</v>
      </c>
      <c r="E120" t="str">
        <f>TEXT(D120,"YYYY-MM-DD")</f>
        <v>1980-07-01</v>
      </c>
      <c r="F120" s="237">
        <f>AVERAGEIFS(B:B,C:C,D120)/100</f>
        <v>0.121875</v>
      </c>
      <c r="G120" t="str">
        <f t="shared" si="3"/>
        <v>('1980-07-01',0.121875),</v>
      </c>
    </row>
    <row r="121" spans="1:7" ht="16.2" x14ac:dyDescent="0.35">
      <c r="A121" s="20">
        <v>26808</v>
      </c>
      <c r="B121" s="21">
        <v>7.7</v>
      </c>
      <c r="C121" s="238">
        <f t="shared" si="4"/>
        <v>26785</v>
      </c>
      <c r="D121" s="238">
        <v>29434</v>
      </c>
      <c r="E121" t="str">
        <f>TEXT(D121,"YYYY-MM-DD")</f>
        <v>1980-08-01</v>
      </c>
      <c r="F121" s="237">
        <f>AVERAGEIFS(B:B,C:C,D121)/100</f>
        <v>0.12559999999999999</v>
      </c>
      <c r="G121" t="str">
        <f t="shared" si="3"/>
        <v>('1980-08-01',0.1256),</v>
      </c>
    </row>
    <row r="122" spans="1:7" ht="16.2" x14ac:dyDescent="0.35">
      <c r="A122" s="20">
        <v>26816</v>
      </c>
      <c r="B122" s="21">
        <v>7.7</v>
      </c>
      <c r="C122" s="238">
        <f t="shared" si="4"/>
        <v>26816</v>
      </c>
      <c r="D122" s="238">
        <v>29465</v>
      </c>
      <c r="E122" t="str">
        <f>TEXT(D122,"YYYY-MM-DD")</f>
        <v>1980-09-01</v>
      </c>
      <c r="F122" s="237">
        <f>AVERAGEIFS(B:B,C:C,D122)/100</f>
        <v>0.13193750000000001</v>
      </c>
      <c r="G122" t="str">
        <f t="shared" si="3"/>
        <v>('1980-09-01',0.1319375),</v>
      </c>
    </row>
    <row r="123" spans="1:7" ht="16.2" x14ac:dyDescent="0.35">
      <c r="A123" s="20">
        <v>26823</v>
      </c>
      <c r="B123" s="21">
        <v>7.73</v>
      </c>
      <c r="C123" s="238">
        <f t="shared" si="4"/>
        <v>26816</v>
      </c>
      <c r="D123" s="238">
        <v>29495</v>
      </c>
      <c r="E123" t="str">
        <f>TEXT(D123,"YYYY-MM-DD")</f>
        <v>1980-10-01</v>
      </c>
      <c r="F123" s="237">
        <f>AVERAGEIFS(B:B,C:C,D123)/100</f>
        <v>0.13790000000000002</v>
      </c>
      <c r="G123" t="str">
        <f t="shared" si="3"/>
        <v>('1980-10-01',0.1379),</v>
      </c>
    </row>
    <row r="124" spans="1:7" ht="16.2" x14ac:dyDescent="0.35">
      <c r="A124" s="20">
        <v>26830</v>
      </c>
      <c r="B124" s="21">
        <v>7.73</v>
      </c>
      <c r="C124" s="238">
        <f t="shared" si="4"/>
        <v>26816</v>
      </c>
      <c r="D124" s="238">
        <v>29526</v>
      </c>
      <c r="E124" t="str">
        <f>TEXT(D124,"YYYY-MM-DD")</f>
        <v>1980-11-01</v>
      </c>
      <c r="F124" s="237">
        <f>AVERAGEIFS(B:B,C:C,D124)/100</f>
        <v>0.14199999999999999</v>
      </c>
      <c r="G124" t="str">
        <f t="shared" si="3"/>
        <v>('1980-11-01',0.142),</v>
      </c>
    </row>
    <row r="125" spans="1:7" ht="16.2" x14ac:dyDescent="0.35">
      <c r="A125" s="20">
        <v>26837</v>
      </c>
      <c r="B125" s="21">
        <v>7.75</v>
      </c>
      <c r="C125" s="238">
        <f t="shared" si="4"/>
        <v>26816</v>
      </c>
      <c r="D125" s="238">
        <v>29556</v>
      </c>
      <c r="E125" t="str">
        <f>TEXT(D125,"YYYY-MM-DD")</f>
        <v>1980-12-01</v>
      </c>
      <c r="F125" s="237">
        <f>AVERAGEIFS(B:B,C:C,D125)/100</f>
        <v>0.14787500000000001</v>
      </c>
      <c r="G125" t="str">
        <f t="shared" si="3"/>
        <v>('1980-12-01',0.147875),</v>
      </c>
    </row>
    <row r="126" spans="1:7" ht="16.2" x14ac:dyDescent="0.35">
      <c r="A126" s="20">
        <v>26844</v>
      </c>
      <c r="B126" s="21">
        <v>7.76</v>
      </c>
      <c r="C126" s="238">
        <f t="shared" si="4"/>
        <v>26816</v>
      </c>
      <c r="D126" s="238">
        <v>29587</v>
      </c>
      <c r="E126" t="str">
        <f>TEXT(D126,"YYYY-MM-DD")</f>
        <v>1981-01-01</v>
      </c>
      <c r="F126" s="237">
        <f>AVERAGEIFS(B:B,C:C,D126)/100</f>
        <v>0.14904000000000001</v>
      </c>
      <c r="G126" t="str">
        <f t="shared" si="3"/>
        <v>('1981-01-01',0.14904),</v>
      </c>
    </row>
    <row r="127" spans="1:7" ht="16.2" x14ac:dyDescent="0.35">
      <c r="A127" s="20">
        <v>26851</v>
      </c>
      <c r="B127" s="21">
        <v>7.89</v>
      </c>
      <c r="C127" s="238">
        <f t="shared" si="4"/>
        <v>26846</v>
      </c>
      <c r="D127" s="238">
        <v>29618</v>
      </c>
      <c r="E127" t="str">
        <f>TEXT(D127,"YYYY-MM-DD")</f>
        <v>1981-02-01</v>
      </c>
      <c r="F127" s="237">
        <f>AVERAGEIFS(B:B,C:C,D127)/100</f>
        <v>0.15132500000000002</v>
      </c>
      <c r="G127" t="str">
        <f t="shared" si="3"/>
        <v>('1981-02-01',0.151325),</v>
      </c>
    </row>
    <row r="128" spans="1:7" ht="16.2" x14ac:dyDescent="0.35">
      <c r="A128" s="20">
        <v>26858</v>
      </c>
      <c r="B128" s="21">
        <v>8.01</v>
      </c>
      <c r="C128" s="238">
        <f t="shared" si="4"/>
        <v>26846</v>
      </c>
      <c r="D128" s="238">
        <v>29646</v>
      </c>
      <c r="E128" t="str">
        <f>TEXT(D128,"YYYY-MM-DD")</f>
        <v>1981-03-01</v>
      </c>
      <c r="F128" s="237">
        <f>AVERAGEIFS(B:B,C:C,D128)/100</f>
        <v>0.154</v>
      </c>
      <c r="G128" t="str">
        <f t="shared" si="3"/>
        <v>('1981-03-01',0.154),</v>
      </c>
    </row>
    <row r="129" spans="1:7" ht="16.2" x14ac:dyDescent="0.35">
      <c r="A129" s="20">
        <v>26865</v>
      </c>
      <c r="B129" s="21">
        <v>8.1199999999999992</v>
      </c>
      <c r="C129" s="238">
        <f t="shared" si="4"/>
        <v>26846</v>
      </c>
      <c r="D129" s="238">
        <v>29677</v>
      </c>
      <c r="E129" t="str">
        <f>TEXT(D129,"YYYY-MM-DD")</f>
        <v>1981-04-01</v>
      </c>
      <c r="F129" s="237">
        <f>AVERAGEIFS(B:B,C:C,D129)/100</f>
        <v>0.15579999999999999</v>
      </c>
      <c r="G129" t="str">
        <f t="shared" si="3"/>
        <v>('1981-04-01',0.1558),</v>
      </c>
    </row>
    <row r="130" spans="1:7" ht="16.2" x14ac:dyDescent="0.35">
      <c r="A130" s="20">
        <v>26872</v>
      </c>
      <c r="B130" s="21">
        <v>8.18</v>
      </c>
      <c r="C130" s="238">
        <f t="shared" si="4"/>
        <v>26846</v>
      </c>
      <c r="D130" s="238">
        <v>29707</v>
      </c>
      <c r="E130" t="str">
        <f>TEXT(D130,"YYYY-MM-DD")</f>
        <v>1981-05-01</v>
      </c>
      <c r="F130" s="237">
        <f>AVERAGEIFS(B:B,C:C,D130)/100</f>
        <v>0.16401999999999997</v>
      </c>
      <c r="G130" t="str">
        <f t="shared" si="3"/>
        <v>('1981-05-01',0.16402),</v>
      </c>
    </row>
    <row r="131" spans="1:7" ht="16.2" x14ac:dyDescent="0.35">
      <c r="A131" s="20">
        <v>26879</v>
      </c>
      <c r="B131" s="21">
        <v>8.26</v>
      </c>
      <c r="C131" s="238">
        <f t="shared" si="4"/>
        <v>26877</v>
      </c>
      <c r="D131" s="238">
        <v>29738</v>
      </c>
      <c r="E131" t="str">
        <f>TEXT(D131,"YYYY-MM-DD")</f>
        <v>1981-06-01</v>
      </c>
      <c r="F131" s="237">
        <f>AVERAGEIFS(B:B,C:C,D131)/100</f>
        <v>0.16695000000000002</v>
      </c>
      <c r="G131" t="str">
        <f t="shared" si="3"/>
        <v>('1981-06-01',0.16695),</v>
      </c>
    </row>
    <row r="132" spans="1:7" ht="16.2" x14ac:dyDescent="0.35">
      <c r="A132" s="20">
        <v>26886</v>
      </c>
      <c r="B132" s="21">
        <v>8.4</v>
      </c>
      <c r="C132" s="238">
        <f t="shared" si="4"/>
        <v>26877</v>
      </c>
      <c r="D132" s="238">
        <v>29768</v>
      </c>
      <c r="E132" t="str">
        <f>TEXT(D132,"YYYY-MM-DD")</f>
        <v>1981-07-01</v>
      </c>
      <c r="F132" s="237">
        <f>AVERAGEIFS(B:B,C:C,D132)/100</f>
        <v>0.16832</v>
      </c>
      <c r="G132" t="str">
        <f t="shared" si="3"/>
        <v>('1981-07-01',0.16832),</v>
      </c>
    </row>
    <row r="133" spans="1:7" ht="16.2" x14ac:dyDescent="0.35">
      <c r="A133" s="20">
        <v>26893</v>
      </c>
      <c r="B133" s="21">
        <v>8.5500000000000007</v>
      </c>
      <c r="C133" s="238">
        <f t="shared" si="4"/>
        <v>26877</v>
      </c>
      <c r="D133" s="238">
        <v>29799</v>
      </c>
      <c r="E133" t="str">
        <f>TEXT(D133,"YYYY-MM-DD")</f>
        <v>1981-08-01</v>
      </c>
      <c r="F133" s="237">
        <f>AVERAGEIFS(B:B,C:C,D133)/100</f>
        <v>0.17285</v>
      </c>
      <c r="G133" t="str">
        <f t="shared" si="3"/>
        <v>('1981-08-01',0.17285),</v>
      </c>
    </row>
    <row r="134" spans="1:7" ht="16.2" x14ac:dyDescent="0.35">
      <c r="A134" s="20">
        <v>26900</v>
      </c>
      <c r="B134" s="21">
        <v>8.61</v>
      </c>
      <c r="C134" s="238">
        <f t="shared" si="4"/>
        <v>26877</v>
      </c>
      <c r="D134" s="238">
        <v>29830</v>
      </c>
      <c r="E134" t="str">
        <f>TEXT(D134,"YYYY-MM-DD")</f>
        <v>1981-09-01</v>
      </c>
      <c r="F134" s="237">
        <f>AVERAGEIFS(B:B,C:C,D134)/100</f>
        <v>0.18160000000000001</v>
      </c>
      <c r="G134" t="str">
        <f t="shared" si="3"/>
        <v>('1981-09-01',0.1816),</v>
      </c>
    </row>
    <row r="135" spans="1:7" ht="16.2" x14ac:dyDescent="0.35">
      <c r="A135" s="20">
        <v>26907</v>
      </c>
      <c r="B135" s="21">
        <v>8.66</v>
      </c>
      <c r="C135" s="238">
        <f t="shared" si="4"/>
        <v>26877</v>
      </c>
      <c r="D135" s="238">
        <v>29860</v>
      </c>
      <c r="E135" t="str">
        <f>TEXT(D135,"YYYY-MM-DD")</f>
        <v>1981-10-01</v>
      </c>
      <c r="F135" s="237">
        <f>AVERAGEIFS(B:B,C:C,D135)/100</f>
        <v>0.18454000000000001</v>
      </c>
      <c r="G135" t="str">
        <f t="shared" si="3"/>
        <v>('1981-10-01',0.18454),</v>
      </c>
    </row>
    <row r="136" spans="1:7" ht="16.2" x14ac:dyDescent="0.35">
      <c r="A136" s="20">
        <v>26914</v>
      </c>
      <c r="B136" s="21">
        <v>8.77</v>
      </c>
      <c r="C136" s="238">
        <f t="shared" si="4"/>
        <v>26908</v>
      </c>
      <c r="D136" s="238">
        <v>29891</v>
      </c>
      <c r="E136" t="str">
        <f>TEXT(D136,"YYYY-MM-DD")</f>
        <v>1981-11-01</v>
      </c>
      <c r="F136" s="237">
        <f>AVERAGEIFS(B:B,C:C,D136)/100</f>
        <v>0.17825000000000002</v>
      </c>
      <c r="G136" t="str">
        <f t="shared" si="3"/>
        <v>('1981-11-01',0.17825),</v>
      </c>
    </row>
    <row r="137" spans="1:7" ht="16.2" x14ac:dyDescent="0.35">
      <c r="A137" s="20">
        <v>26921</v>
      </c>
      <c r="B137" s="21">
        <v>8.81</v>
      </c>
      <c r="C137" s="238">
        <f t="shared" si="4"/>
        <v>26908</v>
      </c>
      <c r="D137" s="238">
        <v>29921</v>
      </c>
      <c r="E137" t="str">
        <f>TEXT(D137,"YYYY-MM-DD")</f>
        <v>1981-12-01</v>
      </c>
      <c r="F137" s="237">
        <f>AVERAGEIFS(B:B,C:C,D137)/100</f>
        <v>0.16945999999999997</v>
      </c>
      <c r="G137" t="str">
        <f t="shared" si="3"/>
        <v>('1981-12-01',0.16946),</v>
      </c>
    </row>
    <row r="138" spans="1:7" ht="16.2" x14ac:dyDescent="0.35">
      <c r="A138" s="20">
        <v>26928</v>
      </c>
      <c r="B138" s="21">
        <v>8.83</v>
      </c>
      <c r="C138" s="238">
        <f t="shared" si="4"/>
        <v>26908</v>
      </c>
      <c r="D138" s="238">
        <v>29952</v>
      </c>
      <c r="E138" t="str">
        <f>TEXT(D138,"YYYY-MM-DD")</f>
        <v>1982-01-01</v>
      </c>
      <c r="F138" s="237">
        <f>AVERAGEIFS(B:B,C:C,D138)/100</f>
        <v>0.17485000000000001</v>
      </c>
      <c r="G138" t="str">
        <f t="shared" si="3"/>
        <v>('1982-01-01',0.17485),</v>
      </c>
    </row>
    <row r="139" spans="1:7" ht="16.2" x14ac:dyDescent="0.35">
      <c r="A139" s="20">
        <v>26935</v>
      </c>
      <c r="B139" s="21">
        <v>8.85</v>
      </c>
      <c r="C139" s="238">
        <f t="shared" si="4"/>
        <v>26908</v>
      </c>
      <c r="D139" s="238">
        <v>29983</v>
      </c>
      <c r="E139" t="str">
        <f>TEXT(D139,"YYYY-MM-DD")</f>
        <v>1982-02-01</v>
      </c>
      <c r="F139" s="237">
        <f>AVERAGEIFS(B:B,C:C,D139)/100</f>
        <v>0.17597499999999996</v>
      </c>
      <c r="G139" t="str">
        <f t="shared" ref="G139:G202" si="5">"('"&amp;E139&amp;"',"&amp;F139&amp;")"&amp;IF(LEN(E140)+LEN(F140)&gt;0,",",";")</f>
        <v>('1982-02-01',0.175975),</v>
      </c>
    </row>
    <row r="140" spans="1:7" ht="16.2" x14ac:dyDescent="0.35">
      <c r="A140" s="20">
        <v>26942</v>
      </c>
      <c r="B140" s="21">
        <v>8.82</v>
      </c>
      <c r="C140" s="238">
        <f t="shared" si="4"/>
        <v>26938</v>
      </c>
      <c r="D140" s="238">
        <v>30011</v>
      </c>
      <c r="E140" t="str">
        <f>TEXT(D140,"YYYY-MM-DD")</f>
        <v>1982-03-01</v>
      </c>
      <c r="F140" s="237">
        <f>AVERAGEIFS(B:B,C:C,D140)/100</f>
        <v>0.17160000000000003</v>
      </c>
      <c r="G140" t="str">
        <f t="shared" si="5"/>
        <v>('1982-03-01',0.1716),</v>
      </c>
    </row>
    <row r="141" spans="1:7" ht="16.2" x14ac:dyDescent="0.35">
      <c r="A141" s="20">
        <v>26949</v>
      </c>
      <c r="B141" s="21">
        <v>8.83</v>
      </c>
      <c r="C141" s="238">
        <f t="shared" si="4"/>
        <v>26938</v>
      </c>
      <c r="D141" s="238">
        <v>30042</v>
      </c>
      <c r="E141" t="str">
        <f>TEXT(D141,"YYYY-MM-DD")</f>
        <v>1982-04-01</v>
      </c>
      <c r="F141" s="237">
        <f>AVERAGEIFS(B:B,C:C,D141)/100</f>
        <v>0.16892000000000004</v>
      </c>
      <c r="G141" t="str">
        <f t="shared" si="5"/>
        <v>('1982-04-01',0.16892),</v>
      </c>
    </row>
    <row r="142" spans="1:7" ht="16.2" x14ac:dyDescent="0.35">
      <c r="A142" s="20">
        <v>26956</v>
      </c>
      <c r="B142" s="21">
        <v>8.75</v>
      </c>
      <c r="C142" s="238">
        <f t="shared" si="4"/>
        <v>26938</v>
      </c>
      <c r="D142" s="238">
        <v>30072</v>
      </c>
      <c r="E142" t="str">
        <f>TEXT(D142,"YYYY-MM-DD")</f>
        <v>1982-05-01</v>
      </c>
      <c r="F142" s="237">
        <f>AVERAGEIFS(B:B,C:C,D142)/100</f>
        <v>0.16677499999999998</v>
      </c>
      <c r="G142" t="str">
        <f t="shared" si="5"/>
        <v>('1982-05-01',0.166775),</v>
      </c>
    </row>
    <row r="143" spans="1:7" ht="16.2" x14ac:dyDescent="0.35">
      <c r="A143" s="20">
        <v>26963</v>
      </c>
      <c r="B143" s="21">
        <v>8.68</v>
      </c>
      <c r="C143" s="238">
        <f t="shared" si="4"/>
        <v>26938</v>
      </c>
      <c r="D143" s="238">
        <v>30103</v>
      </c>
      <c r="E143" t="str">
        <f>TEXT(D143,"YYYY-MM-DD")</f>
        <v>1982-06-01</v>
      </c>
      <c r="F143" s="237">
        <f>AVERAGEIFS(B:B,C:C,D143)/100</f>
        <v>0.16697499999999998</v>
      </c>
      <c r="G143" t="str">
        <f t="shared" si="5"/>
        <v>('1982-06-01',0.166975),</v>
      </c>
    </row>
    <row r="144" spans="1:7" ht="16.2" x14ac:dyDescent="0.35">
      <c r="A144" s="20">
        <v>26970</v>
      </c>
      <c r="B144" s="21">
        <v>8.6199999999999992</v>
      </c>
      <c r="C144" s="238">
        <f t="shared" ref="C144:C207" si="6">EOMONTH(A144,-1)+1</f>
        <v>26969</v>
      </c>
      <c r="D144" s="238">
        <v>30133</v>
      </c>
      <c r="E144" t="str">
        <f>TEXT(D144,"YYYY-MM-DD")</f>
        <v>1982-07-01</v>
      </c>
      <c r="F144" s="237">
        <f>AVERAGEIFS(B:B,C:C,D144)/100</f>
        <v>0.16815999999999995</v>
      </c>
      <c r="G144" t="str">
        <f t="shared" si="5"/>
        <v>('1982-07-01',0.16816),</v>
      </c>
    </row>
    <row r="145" spans="1:7" ht="16.2" x14ac:dyDescent="0.35">
      <c r="A145" s="20">
        <v>26977</v>
      </c>
      <c r="B145" s="21">
        <v>8.59</v>
      </c>
      <c r="C145" s="238">
        <f t="shared" si="6"/>
        <v>26969</v>
      </c>
      <c r="D145" s="238">
        <v>30164</v>
      </c>
      <c r="E145" t="str">
        <f>TEXT(D145,"YYYY-MM-DD")</f>
        <v>1982-08-01</v>
      </c>
      <c r="F145" s="237">
        <f>AVERAGEIFS(B:B,C:C,D145)/100</f>
        <v>0.16269999999999998</v>
      </c>
      <c r="G145" t="str">
        <f t="shared" si="5"/>
        <v>('1982-08-01',0.1627),</v>
      </c>
    </row>
    <row r="146" spans="1:7" ht="16.2" x14ac:dyDescent="0.35">
      <c r="A146" s="20">
        <v>26984</v>
      </c>
      <c r="B146" s="21">
        <v>8.58</v>
      </c>
      <c r="C146" s="238">
        <f t="shared" si="6"/>
        <v>26969</v>
      </c>
      <c r="D146" s="238">
        <v>30195</v>
      </c>
      <c r="E146" t="str">
        <f>TEXT(D146,"YYYY-MM-DD")</f>
        <v>1982-09-01</v>
      </c>
      <c r="F146" s="237">
        <f>AVERAGEIFS(B:B,C:C,D146)/100</f>
        <v>0.15429999999999999</v>
      </c>
      <c r="G146" t="str">
        <f t="shared" si="5"/>
        <v>('1982-09-01',0.1543),</v>
      </c>
    </row>
    <row r="147" spans="1:7" ht="16.2" x14ac:dyDescent="0.35">
      <c r="A147" s="20">
        <v>26991</v>
      </c>
      <c r="B147" s="21">
        <v>8.57</v>
      </c>
      <c r="C147" s="238">
        <f t="shared" si="6"/>
        <v>26969</v>
      </c>
      <c r="D147" s="238">
        <v>30225</v>
      </c>
      <c r="E147" t="str">
        <f>TEXT(D147,"YYYY-MM-DD")</f>
        <v>1982-10-01</v>
      </c>
      <c r="F147" s="237">
        <f>AVERAGEIFS(B:B,C:C,D147)/100</f>
        <v>0.14608000000000002</v>
      </c>
      <c r="G147" t="str">
        <f t="shared" si="5"/>
        <v>('1982-10-01',0.14608),</v>
      </c>
    </row>
    <row r="148" spans="1:7" ht="16.2" x14ac:dyDescent="0.35">
      <c r="A148" s="20">
        <v>26998</v>
      </c>
      <c r="B148" s="21">
        <v>8.5500000000000007</v>
      </c>
      <c r="C148" s="238">
        <f t="shared" si="6"/>
        <v>26969</v>
      </c>
      <c r="D148" s="238">
        <v>30256</v>
      </c>
      <c r="E148" t="str">
        <f>TEXT(D148,"YYYY-MM-DD")</f>
        <v>1982-11-01</v>
      </c>
      <c r="F148" s="237">
        <f>AVERAGEIFS(B:B,C:C,D148)/100</f>
        <v>0.13824999999999998</v>
      </c>
      <c r="G148" t="str">
        <f t="shared" si="5"/>
        <v>('1982-11-01',0.13825),</v>
      </c>
    </row>
    <row r="149" spans="1:7" ht="16.2" x14ac:dyDescent="0.35">
      <c r="A149" s="20">
        <v>27005</v>
      </c>
      <c r="B149" s="21">
        <v>8.5299999999999994</v>
      </c>
      <c r="C149" s="238">
        <f t="shared" si="6"/>
        <v>26999</v>
      </c>
      <c r="D149" s="238">
        <v>30286</v>
      </c>
      <c r="E149" t="str">
        <f>TEXT(D149,"YYYY-MM-DD")</f>
        <v>1982-12-01</v>
      </c>
      <c r="F149" s="237">
        <f>AVERAGEIFS(B:B,C:C,D149)/100</f>
        <v>0.13624</v>
      </c>
      <c r="G149" t="str">
        <f t="shared" si="5"/>
        <v>('1982-12-01',0.13624),</v>
      </c>
    </row>
    <row r="150" spans="1:7" ht="16.2" x14ac:dyDescent="0.35">
      <c r="A150" s="20">
        <v>27012</v>
      </c>
      <c r="B150" s="21">
        <v>8.5299999999999994</v>
      </c>
      <c r="C150" s="238">
        <f t="shared" si="6"/>
        <v>26999</v>
      </c>
      <c r="D150" s="238">
        <v>30317</v>
      </c>
      <c r="E150" t="str">
        <f>TEXT(D150,"YYYY-MM-DD")</f>
        <v>1983-01-01</v>
      </c>
      <c r="F150" s="237">
        <f>AVERAGEIFS(B:B,C:C,D150)/100</f>
        <v>0.13247500000000001</v>
      </c>
      <c r="G150" t="str">
        <f t="shared" si="5"/>
        <v>('1983-01-01',0.132475),</v>
      </c>
    </row>
    <row r="151" spans="1:7" ht="16.2" x14ac:dyDescent="0.35">
      <c r="A151" s="20">
        <v>27019</v>
      </c>
      <c r="B151" s="21">
        <v>8.5299999999999994</v>
      </c>
      <c r="C151" s="238">
        <f t="shared" si="6"/>
        <v>26999</v>
      </c>
      <c r="D151" s="238">
        <v>30348</v>
      </c>
      <c r="E151" t="str">
        <f>TEXT(D151,"YYYY-MM-DD")</f>
        <v>1983-02-01</v>
      </c>
      <c r="F151" s="237">
        <f>AVERAGEIFS(B:B,C:C,D151)/100</f>
        <v>0.13042500000000001</v>
      </c>
      <c r="G151" t="str">
        <f t="shared" si="5"/>
        <v>('1983-02-01',0.130425),</v>
      </c>
    </row>
    <row r="152" spans="1:7" ht="16.2" x14ac:dyDescent="0.35">
      <c r="A152" s="20">
        <v>27026</v>
      </c>
      <c r="B152" s="21">
        <v>8.56</v>
      </c>
      <c r="C152" s="238">
        <f t="shared" si="6"/>
        <v>26999</v>
      </c>
      <c r="D152" s="238">
        <v>30376</v>
      </c>
      <c r="E152" t="str">
        <f>TEXT(D152,"YYYY-MM-DD")</f>
        <v>1983-03-01</v>
      </c>
      <c r="F152" s="237">
        <f>AVERAGEIFS(B:B,C:C,D152)/100</f>
        <v>0.128</v>
      </c>
      <c r="G152" t="str">
        <f t="shared" si="5"/>
        <v>('1983-03-01',0.128),</v>
      </c>
    </row>
    <row r="153" spans="1:7" ht="16.2" x14ac:dyDescent="0.35">
      <c r="A153" s="20">
        <v>27033</v>
      </c>
      <c r="B153" s="21">
        <v>8.56</v>
      </c>
      <c r="C153" s="238">
        <f t="shared" si="6"/>
        <v>27030</v>
      </c>
      <c r="D153" s="238">
        <v>30407</v>
      </c>
      <c r="E153" t="str">
        <f>TEXT(D153,"YYYY-MM-DD")</f>
        <v>1983-04-01</v>
      </c>
      <c r="F153" s="237">
        <f>AVERAGEIFS(B:B,C:C,D153)/100</f>
        <v>0.12781999999999999</v>
      </c>
      <c r="G153" t="str">
        <f t="shared" si="5"/>
        <v>('1983-04-01',0.12782),</v>
      </c>
    </row>
    <row r="154" spans="1:7" ht="16.2" x14ac:dyDescent="0.35">
      <c r="A154" s="20">
        <v>27040</v>
      </c>
      <c r="B154" s="21">
        <v>8.5299999999999994</v>
      </c>
      <c r="C154" s="238">
        <f t="shared" si="6"/>
        <v>27030</v>
      </c>
      <c r="D154" s="238">
        <v>30437</v>
      </c>
      <c r="E154" t="str">
        <f>TEXT(D154,"YYYY-MM-DD")</f>
        <v>1983-05-01</v>
      </c>
      <c r="F154" s="237">
        <f>AVERAGEIFS(B:B,C:C,D154)/100</f>
        <v>0.12632499999999999</v>
      </c>
      <c r="G154" t="str">
        <f t="shared" si="5"/>
        <v>('1983-05-01',0.126325),</v>
      </c>
    </row>
    <row r="155" spans="1:7" ht="16.2" x14ac:dyDescent="0.35">
      <c r="A155" s="20">
        <v>27047</v>
      </c>
      <c r="B155" s="21">
        <v>8.5500000000000007</v>
      </c>
      <c r="C155" s="238">
        <f t="shared" si="6"/>
        <v>27030</v>
      </c>
      <c r="D155" s="238">
        <v>30468</v>
      </c>
      <c r="E155" t="str">
        <f>TEXT(D155,"YYYY-MM-DD")</f>
        <v>1983-06-01</v>
      </c>
      <c r="F155" s="237">
        <f>AVERAGEIFS(B:B,C:C,D155)/100</f>
        <v>0.12870000000000001</v>
      </c>
      <c r="G155" t="str">
        <f t="shared" si="5"/>
        <v>('1983-06-01',0.1287),</v>
      </c>
    </row>
    <row r="156" spans="1:7" ht="16.2" x14ac:dyDescent="0.35">
      <c r="A156" s="20">
        <v>27054</v>
      </c>
      <c r="B156" s="21">
        <v>8.52</v>
      </c>
      <c r="C156" s="238">
        <f t="shared" si="6"/>
        <v>27030</v>
      </c>
      <c r="D156" s="238">
        <v>30498</v>
      </c>
      <c r="E156" t="str">
        <f>TEXT(D156,"YYYY-MM-DD")</f>
        <v>1983-07-01</v>
      </c>
      <c r="F156" s="237">
        <f>AVERAGEIFS(B:B,C:C,D156)/100</f>
        <v>0.13422000000000001</v>
      </c>
      <c r="G156" t="str">
        <f t="shared" si="5"/>
        <v>('1983-07-01',0.13422),</v>
      </c>
    </row>
    <row r="157" spans="1:7" ht="16.2" x14ac:dyDescent="0.35">
      <c r="A157" s="20">
        <v>27061</v>
      </c>
      <c r="B157" s="21">
        <v>8.48</v>
      </c>
      <c r="C157" s="238">
        <f t="shared" si="6"/>
        <v>27061</v>
      </c>
      <c r="D157" s="238">
        <v>30529</v>
      </c>
      <c r="E157" t="str">
        <f>TEXT(D157,"YYYY-MM-DD")</f>
        <v>1983-08-01</v>
      </c>
      <c r="F157" s="237">
        <f>AVERAGEIFS(B:B,C:C,D157)/100</f>
        <v>0.1381</v>
      </c>
      <c r="G157" t="str">
        <f t="shared" si="5"/>
        <v>('1983-08-01',0.1381),</v>
      </c>
    </row>
    <row r="158" spans="1:7" ht="16.2" x14ac:dyDescent="0.35">
      <c r="A158" s="20">
        <v>27068</v>
      </c>
      <c r="B158" s="21">
        <v>8.4600000000000009</v>
      </c>
      <c r="C158" s="238">
        <f t="shared" si="6"/>
        <v>27061</v>
      </c>
      <c r="D158" s="238">
        <v>30560</v>
      </c>
      <c r="E158" t="str">
        <f>TEXT(D158,"YYYY-MM-DD")</f>
        <v>1983-09-01</v>
      </c>
      <c r="F158" s="237">
        <f>AVERAGEIFS(B:B,C:C,D158)/100</f>
        <v>0.13725999999999999</v>
      </c>
      <c r="G158" t="str">
        <f t="shared" si="5"/>
        <v>('1983-09-01',0.13726),</v>
      </c>
    </row>
    <row r="159" spans="1:7" ht="16.2" x14ac:dyDescent="0.35">
      <c r="A159" s="20">
        <v>27075</v>
      </c>
      <c r="B159" s="21">
        <v>8.4600000000000009</v>
      </c>
      <c r="C159" s="238">
        <f t="shared" si="6"/>
        <v>27061</v>
      </c>
      <c r="D159" s="238">
        <v>30590</v>
      </c>
      <c r="E159" t="str">
        <f>TEXT(D159,"YYYY-MM-DD")</f>
        <v>1983-10-01</v>
      </c>
      <c r="F159" s="237">
        <f>AVERAGEIFS(B:B,C:C,D159)/100</f>
        <v>0.13534999999999997</v>
      </c>
      <c r="G159" t="str">
        <f t="shared" si="5"/>
        <v>('1983-10-01',0.13535),</v>
      </c>
    </row>
    <row r="160" spans="1:7" ht="16.2" x14ac:dyDescent="0.35">
      <c r="A160" s="20">
        <v>27082</v>
      </c>
      <c r="B160" s="21">
        <v>8.42</v>
      </c>
      <c r="C160" s="238">
        <f t="shared" si="6"/>
        <v>27061</v>
      </c>
      <c r="D160" s="238">
        <v>30621</v>
      </c>
      <c r="E160" t="str">
        <f>TEXT(D160,"YYYY-MM-DD")</f>
        <v>1983-11-01</v>
      </c>
      <c r="F160" s="237">
        <f>AVERAGEIFS(B:B,C:C,D160)/100</f>
        <v>0.13435</v>
      </c>
      <c r="G160" t="str">
        <f t="shared" si="5"/>
        <v>('1983-11-01',0.13435),</v>
      </c>
    </row>
    <row r="161" spans="1:7" ht="16.2" x14ac:dyDescent="0.35">
      <c r="A161" s="20">
        <v>27089</v>
      </c>
      <c r="B161" s="21">
        <v>8.41</v>
      </c>
      <c r="C161" s="238">
        <f t="shared" si="6"/>
        <v>27089</v>
      </c>
      <c r="D161" s="238">
        <v>30651</v>
      </c>
      <c r="E161" t="str">
        <f>TEXT(D161,"YYYY-MM-DD")</f>
        <v>1983-12-01</v>
      </c>
      <c r="F161" s="237">
        <f>AVERAGEIFS(B:B,C:C,D161)/100</f>
        <v>0.13419999999999999</v>
      </c>
      <c r="G161" t="str">
        <f t="shared" si="5"/>
        <v>('1983-12-01',0.1342),</v>
      </c>
    </row>
    <row r="162" spans="1:7" ht="16.2" x14ac:dyDescent="0.35">
      <c r="A162" s="20">
        <v>27096</v>
      </c>
      <c r="B162" s="21">
        <v>8.41</v>
      </c>
      <c r="C162" s="238">
        <f t="shared" si="6"/>
        <v>27089</v>
      </c>
      <c r="D162" s="238">
        <v>30682</v>
      </c>
      <c r="E162" t="str">
        <f>TEXT(D162,"YYYY-MM-DD")</f>
        <v>1984-01-01</v>
      </c>
      <c r="F162" s="237">
        <f>AVERAGEIFS(B:B,C:C,D162)/100</f>
        <v>0.13367499999999999</v>
      </c>
      <c r="G162" t="str">
        <f t="shared" si="5"/>
        <v>('1984-01-01',0.133675),</v>
      </c>
    </row>
    <row r="163" spans="1:7" ht="16.2" x14ac:dyDescent="0.35">
      <c r="A163" s="20">
        <v>27103</v>
      </c>
      <c r="B163" s="21">
        <v>8.4</v>
      </c>
      <c r="C163" s="238">
        <f t="shared" si="6"/>
        <v>27089</v>
      </c>
      <c r="D163" s="238">
        <v>30713</v>
      </c>
      <c r="E163" t="str">
        <f>TEXT(D163,"YYYY-MM-DD")</f>
        <v>1984-02-01</v>
      </c>
      <c r="F163" s="237">
        <f>AVERAGEIFS(B:B,C:C,D163)/100</f>
        <v>0.132325</v>
      </c>
      <c r="G163" t="str">
        <f t="shared" si="5"/>
        <v>('1984-02-01',0.132325),</v>
      </c>
    </row>
    <row r="164" spans="1:7" ht="16.2" x14ac:dyDescent="0.35">
      <c r="A164" s="20">
        <v>27110</v>
      </c>
      <c r="B164" s="21">
        <v>8.4</v>
      </c>
      <c r="C164" s="238">
        <f t="shared" si="6"/>
        <v>27089</v>
      </c>
      <c r="D164" s="238">
        <v>30742</v>
      </c>
      <c r="E164" t="str">
        <f>TEXT(D164,"YYYY-MM-DD")</f>
        <v>1984-03-01</v>
      </c>
      <c r="F164" s="237">
        <f>AVERAGEIFS(B:B,C:C,D164)/100</f>
        <v>0.13385999999999998</v>
      </c>
      <c r="G164" t="str">
        <f t="shared" si="5"/>
        <v>('1984-03-01',0.13386),</v>
      </c>
    </row>
    <row r="165" spans="1:7" ht="16.2" x14ac:dyDescent="0.35">
      <c r="A165" s="20">
        <v>27117</v>
      </c>
      <c r="B165" s="21">
        <v>8.41</v>
      </c>
      <c r="C165" s="238">
        <f t="shared" si="6"/>
        <v>27089</v>
      </c>
      <c r="D165" s="238">
        <v>30773</v>
      </c>
      <c r="E165" t="str">
        <f>TEXT(D165,"YYYY-MM-DD")</f>
        <v>1984-04-01</v>
      </c>
      <c r="F165" s="237">
        <f>AVERAGEIFS(B:B,C:C,D165)/100</f>
        <v>0.13652500000000001</v>
      </c>
      <c r="G165" t="str">
        <f t="shared" si="5"/>
        <v>('1984-04-01',0.136525),</v>
      </c>
    </row>
    <row r="166" spans="1:7" ht="16.2" x14ac:dyDescent="0.35">
      <c r="A166" s="20">
        <v>27124</v>
      </c>
      <c r="B166" s="21">
        <v>8.44</v>
      </c>
      <c r="C166" s="238">
        <f t="shared" si="6"/>
        <v>27120</v>
      </c>
      <c r="D166" s="238">
        <v>30803</v>
      </c>
      <c r="E166" t="str">
        <f>TEXT(D166,"YYYY-MM-DD")</f>
        <v>1984-05-01</v>
      </c>
      <c r="F166" s="237">
        <f>AVERAGEIFS(B:B,C:C,D166)/100</f>
        <v>0.13942499999999999</v>
      </c>
      <c r="G166" t="str">
        <f t="shared" si="5"/>
        <v>('1984-05-01',0.139425),</v>
      </c>
    </row>
    <row r="167" spans="1:7" ht="16.2" x14ac:dyDescent="0.35">
      <c r="A167" s="20">
        <v>27131</v>
      </c>
      <c r="B167" s="21">
        <v>8.5299999999999994</v>
      </c>
      <c r="C167" s="238">
        <f t="shared" si="6"/>
        <v>27120</v>
      </c>
      <c r="D167" s="238">
        <v>30834</v>
      </c>
      <c r="E167" t="str">
        <f>TEXT(D167,"YYYY-MM-DD")</f>
        <v>1984-06-01</v>
      </c>
      <c r="F167" s="237">
        <f>AVERAGEIFS(B:B,C:C,D167)/100</f>
        <v>0.14416000000000001</v>
      </c>
      <c r="G167" t="str">
        <f t="shared" si="5"/>
        <v>('1984-06-01',0.14416),</v>
      </c>
    </row>
    <row r="168" spans="1:7" ht="16.2" x14ac:dyDescent="0.35">
      <c r="A168" s="20">
        <v>27138</v>
      </c>
      <c r="B168" s="21">
        <v>8.6300000000000008</v>
      </c>
      <c r="C168" s="238">
        <f t="shared" si="6"/>
        <v>27120</v>
      </c>
      <c r="D168" s="238">
        <v>30864</v>
      </c>
      <c r="E168" t="str">
        <f>TEXT(D168,"YYYY-MM-DD")</f>
        <v>1984-07-01</v>
      </c>
      <c r="F168" s="237">
        <f>AVERAGEIFS(B:B,C:C,D168)/100</f>
        <v>0.146675</v>
      </c>
      <c r="G168" t="str">
        <f t="shared" si="5"/>
        <v>('1984-07-01',0.146675),</v>
      </c>
    </row>
    <row r="169" spans="1:7" ht="16.2" x14ac:dyDescent="0.35">
      <c r="A169" s="20">
        <v>27145</v>
      </c>
      <c r="B169" s="21">
        <v>8.73</v>
      </c>
      <c r="C169" s="238">
        <f t="shared" si="6"/>
        <v>27120</v>
      </c>
      <c r="D169" s="238">
        <v>30895</v>
      </c>
      <c r="E169" t="str">
        <f>TEXT(D169,"YYYY-MM-DD")</f>
        <v>1984-08-01</v>
      </c>
      <c r="F169" s="237">
        <f>AVERAGEIFS(B:B,C:C,D169)/100</f>
        <v>0.1447</v>
      </c>
      <c r="G169" t="str">
        <f t="shared" si="5"/>
        <v>('1984-08-01',0.1447),</v>
      </c>
    </row>
    <row r="170" spans="1:7" ht="16.2" x14ac:dyDescent="0.35">
      <c r="A170" s="20">
        <v>27152</v>
      </c>
      <c r="B170" s="21">
        <v>8.8699999999999992</v>
      </c>
      <c r="C170" s="238">
        <f t="shared" si="6"/>
        <v>27150</v>
      </c>
      <c r="D170" s="238">
        <v>30926</v>
      </c>
      <c r="E170" t="str">
        <f>TEXT(D170,"YYYY-MM-DD")</f>
        <v>1984-09-01</v>
      </c>
      <c r="F170" s="237">
        <f>AVERAGEIFS(B:B,C:C,D170)/100</f>
        <v>0.14349999999999999</v>
      </c>
      <c r="G170" t="str">
        <f t="shared" si="5"/>
        <v>('1984-09-01',0.1435),</v>
      </c>
    </row>
    <row r="171" spans="1:7" ht="16.2" x14ac:dyDescent="0.35">
      <c r="A171" s="20">
        <v>27159</v>
      </c>
      <c r="B171" s="21">
        <v>8.98</v>
      </c>
      <c r="C171" s="238">
        <f t="shared" si="6"/>
        <v>27150</v>
      </c>
      <c r="D171" s="238">
        <v>30956</v>
      </c>
      <c r="E171" t="str">
        <f>TEXT(D171,"YYYY-MM-DD")</f>
        <v>1984-10-01</v>
      </c>
      <c r="F171" s="237">
        <f>AVERAGEIFS(B:B,C:C,D171)/100</f>
        <v>0.14129999999999998</v>
      </c>
      <c r="G171" t="str">
        <f t="shared" si="5"/>
        <v>('1984-10-01',0.1413),</v>
      </c>
    </row>
    <row r="172" spans="1:7" ht="16.2" x14ac:dyDescent="0.35">
      <c r="A172" s="20">
        <v>27166</v>
      </c>
      <c r="B172" s="21">
        <v>8.9700000000000006</v>
      </c>
      <c r="C172" s="238">
        <f t="shared" si="6"/>
        <v>27150</v>
      </c>
      <c r="D172" s="238">
        <v>30987</v>
      </c>
      <c r="E172" t="str">
        <f>TEXT(D172,"YYYY-MM-DD")</f>
        <v>1984-11-01</v>
      </c>
      <c r="F172" s="237">
        <f>AVERAGEIFS(B:B,C:C,D172)/100</f>
        <v>0.13638</v>
      </c>
      <c r="G172" t="str">
        <f t="shared" si="5"/>
        <v>('1984-11-01',0.13638),</v>
      </c>
    </row>
    <row r="173" spans="1:7" ht="16.2" x14ac:dyDescent="0.35">
      <c r="A173" s="20">
        <v>27173</v>
      </c>
      <c r="B173" s="21">
        <v>9.01</v>
      </c>
      <c r="C173" s="238">
        <f t="shared" si="6"/>
        <v>27150</v>
      </c>
      <c r="D173" s="238">
        <v>31017</v>
      </c>
      <c r="E173" t="str">
        <f>TEXT(D173,"YYYY-MM-DD")</f>
        <v>1984-12-01</v>
      </c>
      <c r="F173" s="237">
        <f>AVERAGEIFS(B:B,C:C,D173)/100</f>
        <v>0.1318</v>
      </c>
      <c r="G173" t="str">
        <f t="shared" si="5"/>
        <v>('1984-12-01',0.1318),</v>
      </c>
    </row>
    <row r="174" spans="1:7" ht="16.2" x14ac:dyDescent="0.35">
      <c r="A174" s="20">
        <v>27180</v>
      </c>
      <c r="B174" s="21">
        <v>9.0299999999999994</v>
      </c>
      <c r="C174" s="238">
        <f t="shared" si="6"/>
        <v>27150</v>
      </c>
      <c r="D174" s="238">
        <v>31048</v>
      </c>
      <c r="E174" t="str">
        <f>TEXT(D174,"YYYY-MM-DD")</f>
        <v>1985-01-01</v>
      </c>
      <c r="F174" s="237">
        <f>AVERAGEIFS(B:B,C:C,D174)/100</f>
        <v>0.13075000000000001</v>
      </c>
      <c r="G174" t="str">
        <f t="shared" si="5"/>
        <v>('1985-01-01',0.13075),</v>
      </c>
    </row>
    <row r="175" spans="1:7" ht="16.2" x14ac:dyDescent="0.35">
      <c r="A175" s="20">
        <v>27187</v>
      </c>
      <c r="B175" s="21">
        <v>9.06</v>
      </c>
      <c r="C175" s="238">
        <f t="shared" si="6"/>
        <v>27181</v>
      </c>
      <c r="D175" s="238">
        <v>31079</v>
      </c>
      <c r="E175" t="str">
        <f>TEXT(D175,"YYYY-MM-DD")</f>
        <v>1985-02-01</v>
      </c>
      <c r="F175" s="237">
        <f>AVERAGEIFS(B:B,C:C,D175)/100</f>
        <v>0.12920000000000001</v>
      </c>
      <c r="G175" t="str">
        <f t="shared" si="5"/>
        <v>('1985-02-01',0.1292),</v>
      </c>
    </row>
    <row r="176" spans="1:7" ht="16.2" x14ac:dyDescent="0.35">
      <c r="A176" s="20">
        <v>27194</v>
      </c>
      <c r="B176" s="21">
        <v>9.11</v>
      </c>
      <c r="C176" s="238">
        <f t="shared" si="6"/>
        <v>27181</v>
      </c>
      <c r="D176" s="238">
        <v>31107</v>
      </c>
      <c r="E176" t="str">
        <f>TEXT(D176,"YYYY-MM-DD")</f>
        <v>1985-03-01</v>
      </c>
      <c r="F176" s="237">
        <f>AVERAGEIFS(B:B,C:C,D176)/100</f>
        <v>0.13169999999999998</v>
      </c>
      <c r="G176" t="str">
        <f t="shared" si="5"/>
        <v>('1985-03-01',0.1317),</v>
      </c>
    </row>
    <row r="177" spans="1:7" ht="16.2" x14ac:dyDescent="0.35">
      <c r="A177" s="20">
        <v>27201</v>
      </c>
      <c r="B177" s="21">
        <v>9.07</v>
      </c>
      <c r="C177" s="238">
        <f t="shared" si="6"/>
        <v>27181</v>
      </c>
      <c r="D177" s="238">
        <v>31138</v>
      </c>
      <c r="E177" t="str">
        <f>TEXT(D177,"YYYY-MM-DD")</f>
        <v>1985-04-01</v>
      </c>
      <c r="F177" s="237">
        <f>AVERAGEIFS(B:B,C:C,D177)/100</f>
        <v>0.13194999999999998</v>
      </c>
      <c r="G177" t="str">
        <f t="shared" si="5"/>
        <v>('1985-04-01',0.13195),</v>
      </c>
    </row>
    <row r="178" spans="1:7" ht="16.2" x14ac:dyDescent="0.35">
      <c r="A178" s="20">
        <v>27208</v>
      </c>
      <c r="B178" s="21">
        <v>9.1</v>
      </c>
      <c r="C178" s="238">
        <f t="shared" si="6"/>
        <v>27181</v>
      </c>
      <c r="D178" s="238">
        <v>31168</v>
      </c>
      <c r="E178" t="str">
        <f>TEXT(D178,"YYYY-MM-DD")</f>
        <v>1985-05-01</v>
      </c>
      <c r="F178" s="237">
        <f>AVERAGEIFS(B:B,C:C,D178)/100</f>
        <v>0.12913999999999998</v>
      </c>
      <c r="G178" t="str">
        <f t="shared" si="5"/>
        <v>('1985-05-01',0.12914),</v>
      </c>
    </row>
    <row r="179" spans="1:7" ht="16.2" x14ac:dyDescent="0.35">
      <c r="A179" s="20">
        <v>27215</v>
      </c>
      <c r="B179" s="21">
        <v>9.14</v>
      </c>
      <c r="C179" s="238">
        <f t="shared" si="6"/>
        <v>27211</v>
      </c>
      <c r="D179" s="238">
        <v>31199</v>
      </c>
      <c r="E179" t="str">
        <f>TEXT(D179,"YYYY-MM-DD")</f>
        <v>1985-06-01</v>
      </c>
      <c r="F179" s="237">
        <f>AVERAGEIFS(B:B,C:C,D179)/100</f>
        <v>0.12214999999999999</v>
      </c>
      <c r="G179" t="str">
        <f t="shared" si="5"/>
        <v>('1985-06-01',0.12215),</v>
      </c>
    </row>
    <row r="180" spans="1:7" ht="16.2" x14ac:dyDescent="0.35">
      <c r="A180" s="20">
        <v>27222</v>
      </c>
      <c r="B180" s="21">
        <v>9.19</v>
      </c>
      <c r="C180" s="238">
        <f t="shared" si="6"/>
        <v>27211</v>
      </c>
      <c r="D180" s="238">
        <v>31229</v>
      </c>
      <c r="E180" t="str">
        <f>TEXT(D180,"YYYY-MM-DD")</f>
        <v>1985-07-01</v>
      </c>
      <c r="F180" s="237">
        <f>AVERAGEIFS(B:B,C:C,D180)/100</f>
        <v>0.120325</v>
      </c>
      <c r="G180" t="str">
        <f t="shared" si="5"/>
        <v>('1985-07-01',0.120325),</v>
      </c>
    </row>
    <row r="181" spans="1:7" ht="16.2" x14ac:dyDescent="0.35">
      <c r="A181" s="20">
        <v>27229</v>
      </c>
      <c r="B181" s="21">
        <v>9.3699999999999992</v>
      </c>
      <c r="C181" s="238">
        <f t="shared" si="6"/>
        <v>27211</v>
      </c>
      <c r="D181" s="238">
        <v>31260</v>
      </c>
      <c r="E181" t="str">
        <f>TEXT(D181,"YYYY-MM-DD")</f>
        <v>1985-08-01</v>
      </c>
      <c r="F181" s="237">
        <f>AVERAGEIFS(B:B,C:C,D181)/100</f>
        <v>0.12186</v>
      </c>
      <c r="G181" t="str">
        <f t="shared" si="5"/>
        <v>('1985-08-01',0.12186),</v>
      </c>
    </row>
    <row r="182" spans="1:7" ht="16.2" x14ac:dyDescent="0.35">
      <c r="A182" s="20">
        <v>27236</v>
      </c>
      <c r="B182" s="21">
        <v>9.42</v>
      </c>
      <c r="C182" s="238">
        <f t="shared" si="6"/>
        <v>27211</v>
      </c>
      <c r="D182" s="238">
        <v>31291</v>
      </c>
      <c r="E182" t="str">
        <f>TEXT(D182,"YYYY-MM-DD")</f>
        <v>1985-09-01</v>
      </c>
      <c r="F182" s="237">
        <f>AVERAGEIFS(B:B,C:C,D182)/100</f>
        <v>0.12192500000000001</v>
      </c>
      <c r="G182" t="str">
        <f t="shared" si="5"/>
        <v>('1985-09-01',0.121925),</v>
      </c>
    </row>
    <row r="183" spans="1:7" ht="16.2" x14ac:dyDescent="0.35">
      <c r="A183" s="20">
        <v>27243</v>
      </c>
      <c r="B183" s="21">
        <v>9.4700000000000006</v>
      </c>
      <c r="C183" s="238">
        <f t="shared" si="6"/>
        <v>27242</v>
      </c>
      <c r="D183" s="238">
        <v>31321</v>
      </c>
      <c r="E183" t="str">
        <f>TEXT(D183,"YYYY-MM-DD")</f>
        <v>1985-10-01</v>
      </c>
      <c r="F183" s="237">
        <f>AVERAGEIFS(B:B,C:C,D183)/100</f>
        <v>0.12135</v>
      </c>
      <c r="G183" t="str">
        <f t="shared" si="5"/>
        <v>('1985-10-01',0.12135),</v>
      </c>
    </row>
    <row r="184" spans="1:7" ht="16.2" x14ac:dyDescent="0.35">
      <c r="A184" s="20">
        <v>27250</v>
      </c>
      <c r="B184" s="21">
        <v>9.5</v>
      </c>
      <c r="C184" s="238">
        <f t="shared" si="6"/>
        <v>27242</v>
      </c>
      <c r="D184" s="238">
        <v>31352</v>
      </c>
      <c r="E184" t="str">
        <f>TEXT(D184,"YYYY-MM-DD")</f>
        <v>1985-11-01</v>
      </c>
      <c r="F184" s="237">
        <f>AVERAGEIFS(B:B,C:C,D184)/100</f>
        <v>0.11784</v>
      </c>
      <c r="G184" t="str">
        <f t="shared" si="5"/>
        <v>('1985-11-01',0.11784),</v>
      </c>
    </row>
    <row r="185" spans="1:7" ht="16.2" x14ac:dyDescent="0.35">
      <c r="A185" s="20">
        <v>27257</v>
      </c>
      <c r="B185" s="21">
        <v>9.6</v>
      </c>
      <c r="C185" s="238">
        <f t="shared" si="6"/>
        <v>27242</v>
      </c>
      <c r="D185" s="238">
        <v>31382</v>
      </c>
      <c r="E185" t="str">
        <f>TEXT(D185,"YYYY-MM-DD")</f>
        <v>1985-12-01</v>
      </c>
      <c r="F185" s="237">
        <f>AVERAGEIFS(B:B,C:C,D185)/100</f>
        <v>0.11260000000000002</v>
      </c>
      <c r="G185" t="str">
        <f t="shared" si="5"/>
        <v>('1985-12-01',0.1126),</v>
      </c>
    </row>
    <row r="186" spans="1:7" ht="16.2" x14ac:dyDescent="0.35">
      <c r="A186" s="20">
        <v>27264</v>
      </c>
      <c r="B186" s="21">
        <v>9.6199999999999992</v>
      </c>
      <c r="C186" s="238">
        <f t="shared" si="6"/>
        <v>27242</v>
      </c>
      <c r="D186" s="238">
        <v>31413</v>
      </c>
      <c r="E186" t="str">
        <f>TEXT(D186,"YYYY-MM-DD")</f>
        <v>1986-01-01</v>
      </c>
      <c r="F186" s="237">
        <f>AVERAGEIFS(B:B,C:C,D186)/100</f>
        <v>0.10886</v>
      </c>
      <c r="G186" t="str">
        <f t="shared" si="5"/>
        <v>('1986-01-01',0.10886),</v>
      </c>
    </row>
    <row r="187" spans="1:7" ht="16.2" x14ac:dyDescent="0.35">
      <c r="A187" s="20">
        <v>27271</v>
      </c>
      <c r="B187" s="21">
        <v>9.74</v>
      </c>
      <c r="C187" s="238">
        <f t="shared" si="6"/>
        <v>27242</v>
      </c>
      <c r="D187" s="238">
        <v>31444</v>
      </c>
      <c r="E187" t="str">
        <f>TEXT(D187,"YYYY-MM-DD")</f>
        <v>1986-02-01</v>
      </c>
      <c r="F187" s="237">
        <f>AVERAGEIFS(B:B,C:C,D187)/100</f>
        <v>0.10709999999999999</v>
      </c>
      <c r="G187" t="str">
        <f t="shared" si="5"/>
        <v>('1986-02-01',0.1071),</v>
      </c>
    </row>
    <row r="188" spans="1:7" ht="16.2" x14ac:dyDescent="0.35">
      <c r="A188" s="20">
        <v>27278</v>
      </c>
      <c r="B188" s="21">
        <v>9.8800000000000008</v>
      </c>
      <c r="C188" s="238">
        <f t="shared" si="6"/>
        <v>27273</v>
      </c>
      <c r="D188" s="238">
        <v>31472</v>
      </c>
      <c r="E188" t="str">
        <f>TEXT(D188,"YYYY-MM-DD")</f>
        <v>1986-03-01</v>
      </c>
      <c r="F188" s="237">
        <f>AVERAGEIFS(B:B,C:C,D188)/100</f>
        <v>0.1008</v>
      </c>
      <c r="G188" t="str">
        <f t="shared" si="5"/>
        <v>('1986-03-01',0.1008),</v>
      </c>
    </row>
    <row r="189" spans="1:7" ht="16.2" x14ac:dyDescent="0.35">
      <c r="A189" s="20">
        <v>27285</v>
      </c>
      <c r="B189" s="21">
        <v>9.92</v>
      </c>
      <c r="C189" s="238">
        <f t="shared" si="6"/>
        <v>27273</v>
      </c>
      <c r="D189" s="238">
        <v>31503</v>
      </c>
      <c r="E189" t="str">
        <f>TEXT(D189,"YYYY-MM-DD")</f>
        <v>1986-04-01</v>
      </c>
      <c r="F189" s="237">
        <f>AVERAGEIFS(B:B,C:C,D189)/100</f>
        <v>9.9375000000000005E-2</v>
      </c>
      <c r="G189" t="str">
        <f t="shared" si="5"/>
        <v>('1986-04-01',0.099375),</v>
      </c>
    </row>
    <row r="190" spans="1:7" ht="16.2" x14ac:dyDescent="0.35">
      <c r="A190" s="20">
        <v>27292</v>
      </c>
      <c r="B190" s="21">
        <v>10</v>
      </c>
      <c r="C190" s="238">
        <f t="shared" si="6"/>
        <v>27273</v>
      </c>
      <c r="D190" s="238">
        <v>31533</v>
      </c>
      <c r="E190" t="str">
        <f>TEXT(D190,"YYYY-MM-DD")</f>
        <v>1986-05-01</v>
      </c>
      <c r="F190" s="237">
        <f>AVERAGEIFS(B:B,C:C,D190)/100</f>
        <v>0.10144</v>
      </c>
      <c r="G190" t="str">
        <f t="shared" si="5"/>
        <v>('1986-05-01',0.10144),</v>
      </c>
    </row>
    <row r="191" spans="1:7" ht="16.2" x14ac:dyDescent="0.35">
      <c r="A191" s="20">
        <v>27299</v>
      </c>
      <c r="B191" s="21">
        <v>10.029999999999999</v>
      </c>
      <c r="C191" s="238">
        <f t="shared" si="6"/>
        <v>27273</v>
      </c>
      <c r="D191" s="238">
        <v>31564</v>
      </c>
      <c r="E191" t="str">
        <f>TEXT(D191,"YYYY-MM-DD")</f>
        <v>1986-06-01</v>
      </c>
      <c r="F191" s="237">
        <f>AVERAGEIFS(B:B,C:C,D191)/100</f>
        <v>0.10682499999999999</v>
      </c>
      <c r="G191" t="str">
        <f t="shared" si="5"/>
        <v>('1986-06-01',0.106825),</v>
      </c>
    </row>
    <row r="192" spans="1:7" ht="16.2" x14ac:dyDescent="0.35">
      <c r="A192" s="20">
        <v>27306</v>
      </c>
      <c r="B192" s="21">
        <v>10.02</v>
      </c>
      <c r="C192" s="238">
        <f t="shared" si="6"/>
        <v>27303</v>
      </c>
      <c r="D192" s="238">
        <v>31594</v>
      </c>
      <c r="E192" t="str">
        <f>TEXT(D192,"YYYY-MM-DD")</f>
        <v>1986-07-01</v>
      </c>
      <c r="F192" s="237">
        <f>AVERAGEIFS(B:B,C:C,D192)/100</f>
        <v>0.105075</v>
      </c>
      <c r="G192" t="str">
        <f t="shared" si="5"/>
        <v>('1986-07-01',0.105075),</v>
      </c>
    </row>
    <row r="193" spans="1:7" ht="16.2" x14ac:dyDescent="0.35">
      <c r="A193" s="20">
        <v>27313</v>
      </c>
      <c r="B193" s="21">
        <v>9.9600000000000009</v>
      </c>
      <c r="C193" s="238">
        <f t="shared" si="6"/>
        <v>27303</v>
      </c>
      <c r="D193" s="238">
        <v>31625</v>
      </c>
      <c r="E193" t="str">
        <f>TEXT(D193,"YYYY-MM-DD")</f>
        <v>1986-08-01</v>
      </c>
      <c r="F193" s="237">
        <f>AVERAGEIFS(B:B,C:C,D193)/100</f>
        <v>0.10199999999999999</v>
      </c>
      <c r="G193" t="str">
        <f t="shared" si="5"/>
        <v>('1986-08-01',0.102),</v>
      </c>
    </row>
    <row r="194" spans="1:7" ht="16.2" x14ac:dyDescent="0.35">
      <c r="A194" s="20">
        <v>27320</v>
      </c>
      <c r="B194" s="21">
        <v>9.99</v>
      </c>
      <c r="C194" s="238">
        <f t="shared" si="6"/>
        <v>27303</v>
      </c>
      <c r="D194" s="238">
        <v>31656</v>
      </c>
      <c r="E194" t="str">
        <f>TEXT(D194,"YYYY-MM-DD")</f>
        <v>1986-09-01</v>
      </c>
      <c r="F194" s="237">
        <f>AVERAGEIFS(B:B,C:C,D194)/100</f>
        <v>0.100075</v>
      </c>
      <c r="G194" t="str">
        <f t="shared" si="5"/>
        <v>('1986-09-01',0.100075),</v>
      </c>
    </row>
    <row r="195" spans="1:7" ht="16.2" x14ac:dyDescent="0.35">
      <c r="A195" s="20">
        <v>27327</v>
      </c>
      <c r="B195" s="21">
        <v>9.94</v>
      </c>
      <c r="C195" s="238">
        <f t="shared" si="6"/>
        <v>27303</v>
      </c>
      <c r="D195" s="238">
        <v>31686</v>
      </c>
      <c r="E195" t="str">
        <f>TEXT(D195,"YYYY-MM-DD")</f>
        <v>1986-10-01</v>
      </c>
      <c r="F195" s="237">
        <f>AVERAGEIFS(B:B,C:C,D195)/100</f>
        <v>9.9739999999999995E-2</v>
      </c>
      <c r="G195" t="str">
        <f t="shared" si="5"/>
        <v>('1986-10-01',0.09974),</v>
      </c>
    </row>
    <row r="196" spans="1:7" ht="16.2" x14ac:dyDescent="0.35">
      <c r="A196" s="20">
        <v>27334</v>
      </c>
      <c r="B196" s="21">
        <v>9.8699999999999992</v>
      </c>
      <c r="C196" s="238">
        <f t="shared" si="6"/>
        <v>27334</v>
      </c>
      <c r="D196" s="238">
        <v>31717</v>
      </c>
      <c r="E196" t="str">
        <f>TEXT(D196,"YYYY-MM-DD")</f>
        <v>1986-11-01</v>
      </c>
      <c r="F196" s="237">
        <f>AVERAGEIFS(B:B,C:C,D196)/100</f>
        <v>9.6950000000000008E-2</v>
      </c>
      <c r="G196" t="str">
        <f t="shared" si="5"/>
        <v>('1986-11-01',0.09695),</v>
      </c>
    </row>
    <row r="197" spans="1:7" ht="16.2" x14ac:dyDescent="0.35">
      <c r="A197" s="20">
        <v>27341</v>
      </c>
      <c r="B197" s="21">
        <v>9.81</v>
      </c>
      <c r="C197" s="238">
        <f t="shared" si="6"/>
        <v>27334</v>
      </c>
      <c r="D197" s="238">
        <v>31747</v>
      </c>
      <c r="E197" t="str">
        <f>TEXT(D197,"YYYY-MM-DD")</f>
        <v>1986-12-01</v>
      </c>
      <c r="F197" s="237">
        <f>AVERAGEIFS(B:B,C:C,D197)/100</f>
        <v>9.3099999999999988E-2</v>
      </c>
      <c r="G197" t="str">
        <f t="shared" si="5"/>
        <v>('1986-12-01',0.0931),</v>
      </c>
    </row>
    <row r="198" spans="1:7" ht="16.2" x14ac:dyDescent="0.35">
      <c r="A198" s="20">
        <v>27348</v>
      </c>
      <c r="B198" s="21">
        <v>9.81</v>
      </c>
      <c r="C198" s="238">
        <f t="shared" si="6"/>
        <v>27334</v>
      </c>
      <c r="D198" s="238">
        <v>31778</v>
      </c>
      <c r="E198" t="str">
        <f>TEXT(D198,"YYYY-MM-DD")</f>
        <v>1987-01-01</v>
      </c>
      <c r="F198" s="237">
        <f>AVERAGEIFS(B:B,C:C,D198)/100</f>
        <v>9.2039999999999983E-2</v>
      </c>
      <c r="G198" t="str">
        <f t="shared" si="5"/>
        <v>('1987-01-01',0.09204),</v>
      </c>
    </row>
    <row r="199" spans="1:7" ht="16.2" x14ac:dyDescent="0.35">
      <c r="A199" s="20">
        <v>27355</v>
      </c>
      <c r="B199" s="21">
        <v>9.73</v>
      </c>
      <c r="C199" s="238">
        <f t="shared" si="6"/>
        <v>27334</v>
      </c>
      <c r="D199" s="238">
        <v>31809</v>
      </c>
      <c r="E199" t="str">
        <f>TEXT(D199,"YYYY-MM-DD")</f>
        <v>1987-02-01</v>
      </c>
      <c r="F199" s="237">
        <f>AVERAGEIFS(B:B,C:C,D199)/100</f>
        <v>9.0824999999999989E-2</v>
      </c>
      <c r="G199" t="str">
        <f t="shared" si="5"/>
        <v>('1987-02-01',0.090825),</v>
      </c>
    </row>
    <row r="200" spans="1:7" ht="16.2" x14ac:dyDescent="0.35">
      <c r="A200" s="20">
        <v>27362</v>
      </c>
      <c r="B200" s="21">
        <v>9.7200000000000006</v>
      </c>
      <c r="C200" s="238">
        <f t="shared" si="6"/>
        <v>27334</v>
      </c>
      <c r="D200" s="238">
        <v>31837</v>
      </c>
      <c r="E200" t="str">
        <f>TEXT(D200,"YYYY-MM-DD")</f>
        <v>1987-03-01</v>
      </c>
      <c r="F200" s="237">
        <f>AVERAGEIFS(B:B,C:C,D200)/100</f>
        <v>9.035E-2</v>
      </c>
      <c r="G200" t="str">
        <f t="shared" si="5"/>
        <v>('1987-03-01',0.09035),</v>
      </c>
    </row>
    <row r="201" spans="1:7" ht="16.2" x14ac:dyDescent="0.35">
      <c r="A201" s="20">
        <v>27369</v>
      </c>
      <c r="B201" s="21">
        <v>9.69</v>
      </c>
      <c r="C201" s="238">
        <f t="shared" si="6"/>
        <v>27364</v>
      </c>
      <c r="D201" s="238">
        <v>31868</v>
      </c>
      <c r="E201" t="str">
        <f>TEXT(D201,"YYYY-MM-DD")</f>
        <v>1987-04-01</v>
      </c>
      <c r="F201" s="237">
        <f>AVERAGEIFS(B:B,C:C,D201)/100</f>
        <v>9.8324999999999996E-2</v>
      </c>
      <c r="G201" t="str">
        <f t="shared" si="5"/>
        <v>('1987-04-01',0.098325),</v>
      </c>
    </row>
    <row r="202" spans="1:7" ht="16.2" x14ac:dyDescent="0.35">
      <c r="A202" s="20">
        <v>27376</v>
      </c>
      <c r="B202" s="21">
        <v>9.6300000000000008</v>
      </c>
      <c r="C202" s="238">
        <f t="shared" si="6"/>
        <v>27364</v>
      </c>
      <c r="D202" s="238">
        <v>31898</v>
      </c>
      <c r="E202" t="str">
        <f>TEXT(D202,"YYYY-MM-DD")</f>
        <v>1987-05-01</v>
      </c>
      <c r="F202" s="237">
        <f>AVERAGEIFS(B:B,C:C,D202)/100</f>
        <v>0.10596</v>
      </c>
      <c r="G202" t="str">
        <f t="shared" si="5"/>
        <v>('1987-05-01',0.10596),</v>
      </c>
    </row>
    <row r="203" spans="1:7" ht="16.2" x14ac:dyDescent="0.35">
      <c r="A203" s="20">
        <v>27383</v>
      </c>
      <c r="B203" s="21">
        <v>9.58</v>
      </c>
      <c r="C203" s="238">
        <f t="shared" si="6"/>
        <v>27364</v>
      </c>
      <c r="D203" s="238">
        <v>31929</v>
      </c>
      <c r="E203" t="str">
        <f>TEXT(D203,"YYYY-MM-DD")</f>
        <v>1987-06-01</v>
      </c>
      <c r="F203" s="237">
        <f>AVERAGEIFS(B:B,C:C,D203)/100</f>
        <v>0.105375</v>
      </c>
      <c r="G203" t="str">
        <f t="shared" ref="G203:G266" si="7">"('"&amp;E203&amp;"',"&amp;F203&amp;")"&amp;IF(LEN(E204)+LEN(F204)&gt;0,",",";")</f>
        <v>('1987-06-01',0.105375),</v>
      </c>
    </row>
    <row r="204" spans="1:7" ht="16.2" x14ac:dyDescent="0.35">
      <c r="A204" s="20">
        <v>27390</v>
      </c>
      <c r="B204" s="21">
        <v>9.56</v>
      </c>
      <c r="C204" s="238">
        <f t="shared" si="6"/>
        <v>27364</v>
      </c>
      <c r="D204" s="238">
        <v>31959</v>
      </c>
      <c r="E204" t="str">
        <f>TEXT(D204,"YYYY-MM-DD")</f>
        <v>1987-07-01</v>
      </c>
      <c r="F204" s="237">
        <f>AVERAGEIFS(B:B,C:C,D204)/100</f>
        <v>0.10278000000000001</v>
      </c>
      <c r="G204" t="str">
        <f t="shared" si="7"/>
        <v>('1987-07-01',0.10278),</v>
      </c>
    </row>
    <row r="205" spans="1:7" ht="16.2" x14ac:dyDescent="0.35">
      <c r="A205" s="20">
        <v>27397</v>
      </c>
      <c r="B205" s="21">
        <v>9.6</v>
      </c>
      <c r="C205" s="238">
        <f t="shared" si="6"/>
        <v>27395</v>
      </c>
      <c r="D205" s="238">
        <v>31990</v>
      </c>
      <c r="E205" t="str">
        <f>TEXT(D205,"YYYY-MM-DD")</f>
        <v>1987-08-01</v>
      </c>
      <c r="F205" s="237">
        <f>AVERAGEIFS(B:B,C:C,D205)/100</f>
        <v>0.1033</v>
      </c>
      <c r="G205" t="str">
        <f t="shared" si="7"/>
        <v>('1987-08-01',0.1033),</v>
      </c>
    </row>
    <row r="206" spans="1:7" ht="16.2" x14ac:dyDescent="0.35">
      <c r="A206" s="20">
        <v>27404</v>
      </c>
      <c r="B206" s="21">
        <v>9.49</v>
      </c>
      <c r="C206" s="238">
        <f t="shared" si="6"/>
        <v>27395</v>
      </c>
      <c r="D206" s="238">
        <v>32021</v>
      </c>
      <c r="E206" t="str">
        <f>TEXT(D206,"YYYY-MM-DD")</f>
        <v>1987-09-01</v>
      </c>
      <c r="F206" s="237">
        <f>AVERAGEIFS(B:B,C:C,D206)/100</f>
        <v>0.108875</v>
      </c>
      <c r="G206" t="str">
        <f t="shared" si="7"/>
        <v>('1987-09-01',0.108875),</v>
      </c>
    </row>
    <row r="207" spans="1:7" ht="16.2" x14ac:dyDescent="0.35">
      <c r="A207" s="20">
        <v>27411</v>
      </c>
      <c r="B207" s="21">
        <v>9.43</v>
      </c>
      <c r="C207" s="238">
        <f t="shared" si="6"/>
        <v>27395</v>
      </c>
      <c r="D207" s="238">
        <v>32051</v>
      </c>
      <c r="E207" t="str">
        <f>TEXT(D207,"YYYY-MM-DD")</f>
        <v>1987-10-01</v>
      </c>
      <c r="F207" s="237">
        <f>AVERAGEIFS(B:B,C:C,D207)/100</f>
        <v>0.11259999999999999</v>
      </c>
      <c r="G207" t="str">
        <f t="shared" si="7"/>
        <v>('1987-10-01',0.1126),</v>
      </c>
    </row>
    <row r="208" spans="1:7" ht="16.2" x14ac:dyDescent="0.35">
      <c r="A208" s="20">
        <v>27418</v>
      </c>
      <c r="B208" s="21">
        <v>9.35</v>
      </c>
      <c r="C208" s="238">
        <f t="shared" ref="C208:C271" si="8">EOMONTH(A208,-1)+1</f>
        <v>27395</v>
      </c>
      <c r="D208" s="238">
        <v>32082</v>
      </c>
      <c r="E208" t="str">
        <f>TEXT(D208,"YYYY-MM-DD")</f>
        <v>1987-11-01</v>
      </c>
      <c r="F208" s="237">
        <f>AVERAGEIFS(B:B,C:C,D208)/100</f>
        <v>0.10649999999999998</v>
      </c>
      <c r="G208" t="str">
        <f t="shared" si="7"/>
        <v>('1987-11-01',0.1065),</v>
      </c>
    </row>
    <row r="209" spans="1:7" ht="16.2" x14ac:dyDescent="0.35">
      <c r="A209" s="20">
        <v>27425</v>
      </c>
      <c r="B209" s="21">
        <v>9.2899999999999991</v>
      </c>
      <c r="C209" s="238">
        <f t="shared" si="8"/>
        <v>27395</v>
      </c>
      <c r="D209" s="238">
        <v>32112</v>
      </c>
      <c r="E209" t="str">
        <f>TEXT(D209,"YYYY-MM-DD")</f>
        <v>1987-12-01</v>
      </c>
      <c r="F209" s="237">
        <f>AVERAGEIFS(B:B,C:C,D209)/100</f>
        <v>0.10639999999999999</v>
      </c>
      <c r="G209" t="str">
        <f t="shared" si="7"/>
        <v>('1987-12-01',0.1064),</v>
      </c>
    </row>
    <row r="210" spans="1:7" ht="16.2" x14ac:dyDescent="0.35">
      <c r="A210" s="20">
        <v>27432</v>
      </c>
      <c r="B210" s="21">
        <v>9.1999999999999993</v>
      </c>
      <c r="C210" s="238">
        <f t="shared" si="8"/>
        <v>27426</v>
      </c>
      <c r="D210" s="238">
        <v>32143</v>
      </c>
      <c r="E210" t="str">
        <f>TEXT(D210,"YYYY-MM-DD")</f>
        <v>1988-01-01</v>
      </c>
      <c r="F210" s="237">
        <f>AVERAGEIFS(B:B,C:C,D210)/100</f>
        <v>0.103825</v>
      </c>
      <c r="G210" t="str">
        <f t="shared" si="7"/>
        <v>('1988-01-01',0.103825),</v>
      </c>
    </row>
    <row r="211" spans="1:7" ht="16.2" x14ac:dyDescent="0.35">
      <c r="A211" s="20">
        <v>27439</v>
      </c>
      <c r="B211" s="21">
        <v>9.1300000000000008</v>
      </c>
      <c r="C211" s="238">
        <f t="shared" si="8"/>
        <v>27426</v>
      </c>
      <c r="D211" s="238">
        <v>32174</v>
      </c>
      <c r="E211" t="str">
        <f>TEXT(D211,"YYYY-MM-DD")</f>
        <v>1988-02-01</v>
      </c>
      <c r="F211" s="237">
        <f>AVERAGEIFS(B:B,C:C,D211)/100</f>
        <v>9.8924999999999999E-2</v>
      </c>
      <c r="G211" t="str">
        <f t="shared" si="7"/>
        <v>('1988-02-01',0.098925),</v>
      </c>
    </row>
    <row r="212" spans="1:7" ht="16.2" x14ac:dyDescent="0.35">
      <c r="A212" s="20">
        <v>27446</v>
      </c>
      <c r="B212" s="21">
        <v>9.07</v>
      </c>
      <c r="C212" s="238">
        <f t="shared" si="8"/>
        <v>27426</v>
      </c>
      <c r="D212" s="238">
        <v>32203</v>
      </c>
      <c r="E212" t="str">
        <f>TEXT(D212,"YYYY-MM-DD")</f>
        <v>1988-03-01</v>
      </c>
      <c r="F212" s="237">
        <f>AVERAGEIFS(B:B,C:C,D212)/100</f>
        <v>9.9300000000000013E-2</v>
      </c>
      <c r="G212" t="str">
        <f t="shared" si="7"/>
        <v>('1988-03-01',0.0993),</v>
      </c>
    </row>
    <row r="213" spans="1:7" ht="16.2" x14ac:dyDescent="0.35">
      <c r="A213" s="20">
        <v>27453</v>
      </c>
      <c r="B213" s="21">
        <v>9.02</v>
      </c>
      <c r="C213" s="238">
        <f t="shared" si="8"/>
        <v>27426</v>
      </c>
      <c r="D213" s="238">
        <v>32234</v>
      </c>
      <c r="E213" t="str">
        <f>TEXT(D213,"YYYY-MM-DD")</f>
        <v>1988-04-01</v>
      </c>
      <c r="F213" s="237">
        <f>AVERAGEIFS(B:B,C:C,D213)/100</f>
        <v>0.10202000000000001</v>
      </c>
      <c r="G213" t="str">
        <f t="shared" si="7"/>
        <v>('1988-04-01',0.10202),</v>
      </c>
    </row>
    <row r="214" spans="1:7" ht="16.2" x14ac:dyDescent="0.35">
      <c r="A214" s="20">
        <v>27460</v>
      </c>
      <c r="B214" s="21">
        <v>9</v>
      </c>
      <c r="C214" s="238">
        <f t="shared" si="8"/>
        <v>27454</v>
      </c>
      <c r="D214" s="238">
        <v>32264</v>
      </c>
      <c r="E214" t="str">
        <f>TEXT(D214,"YYYY-MM-DD")</f>
        <v>1988-05-01</v>
      </c>
      <c r="F214" s="237">
        <f>AVERAGEIFS(B:B,C:C,D214)/100</f>
        <v>0.10455</v>
      </c>
      <c r="G214" t="str">
        <f t="shared" si="7"/>
        <v>('1988-05-01',0.10455),</v>
      </c>
    </row>
    <row r="215" spans="1:7" ht="16.2" x14ac:dyDescent="0.35">
      <c r="A215" s="20">
        <v>27467</v>
      </c>
      <c r="B215" s="21">
        <v>8.89</v>
      </c>
      <c r="C215" s="238">
        <f t="shared" si="8"/>
        <v>27454</v>
      </c>
      <c r="D215" s="238">
        <v>32295</v>
      </c>
      <c r="E215" t="str">
        <f>TEXT(D215,"YYYY-MM-DD")</f>
        <v>1988-06-01</v>
      </c>
      <c r="F215" s="237">
        <f>AVERAGEIFS(B:B,C:C,D215)/100</f>
        <v>0.10459999999999998</v>
      </c>
      <c r="G215" t="str">
        <f t="shared" si="7"/>
        <v>('1988-06-01',0.1046),</v>
      </c>
    </row>
    <row r="216" spans="1:7" ht="16.2" x14ac:dyDescent="0.35">
      <c r="A216" s="20">
        <v>27474</v>
      </c>
      <c r="B216" s="21">
        <v>8.86</v>
      </c>
      <c r="C216" s="238">
        <f t="shared" si="8"/>
        <v>27454</v>
      </c>
      <c r="D216" s="238">
        <v>32325</v>
      </c>
      <c r="E216" t="str">
        <f>TEXT(D216,"YYYY-MM-DD")</f>
        <v>1988-07-01</v>
      </c>
      <c r="F216" s="237">
        <f>AVERAGEIFS(B:B,C:C,D216)/100</f>
        <v>0.10432000000000001</v>
      </c>
      <c r="G216" t="str">
        <f t="shared" si="7"/>
        <v>('1988-07-01',0.10432),</v>
      </c>
    </row>
    <row r="217" spans="1:7" ht="16.2" x14ac:dyDescent="0.35">
      <c r="A217" s="20">
        <v>27481</v>
      </c>
      <c r="B217" s="21">
        <v>8.86</v>
      </c>
      <c r="C217" s="238">
        <f t="shared" si="8"/>
        <v>27454</v>
      </c>
      <c r="D217" s="238">
        <v>32356</v>
      </c>
      <c r="E217" t="str">
        <f>TEXT(D217,"YYYY-MM-DD")</f>
        <v>1988-08-01</v>
      </c>
      <c r="F217" s="237">
        <f>AVERAGEIFS(B:B,C:C,D217)/100</f>
        <v>0.105975</v>
      </c>
      <c r="G217" t="str">
        <f t="shared" si="7"/>
        <v>('1988-08-01',0.105975),</v>
      </c>
    </row>
    <row r="218" spans="1:7" ht="16.2" x14ac:dyDescent="0.35">
      <c r="A218" s="20">
        <v>27488</v>
      </c>
      <c r="B218" s="21">
        <v>8.83</v>
      </c>
      <c r="C218" s="238">
        <f t="shared" si="8"/>
        <v>27485</v>
      </c>
      <c r="D218" s="238">
        <v>32387</v>
      </c>
      <c r="E218" t="str">
        <f>TEXT(D218,"YYYY-MM-DD")</f>
        <v>1988-09-01</v>
      </c>
      <c r="F218" s="237">
        <f>AVERAGEIFS(B:B,C:C,D218)/100</f>
        <v>0.1048</v>
      </c>
      <c r="G218" t="str">
        <f t="shared" si="7"/>
        <v>('1988-09-01',0.1048),</v>
      </c>
    </row>
    <row r="219" spans="1:7" ht="16.2" x14ac:dyDescent="0.35">
      <c r="A219" s="20">
        <v>27495</v>
      </c>
      <c r="B219" s="21">
        <v>8.81</v>
      </c>
      <c r="C219" s="238">
        <f t="shared" si="8"/>
        <v>27485</v>
      </c>
      <c r="D219" s="238">
        <v>32417</v>
      </c>
      <c r="E219" t="str">
        <f>TEXT(D219,"YYYY-MM-DD")</f>
        <v>1988-10-01</v>
      </c>
      <c r="F219" s="237">
        <f>AVERAGEIFS(B:B,C:C,D219)/100</f>
        <v>0.10302500000000001</v>
      </c>
      <c r="G219" t="str">
        <f t="shared" si="7"/>
        <v>('1988-10-01',0.103025),</v>
      </c>
    </row>
    <row r="220" spans="1:7" ht="16.2" x14ac:dyDescent="0.35">
      <c r="A220" s="20">
        <v>27502</v>
      </c>
      <c r="B220" s="21">
        <v>8.8000000000000007</v>
      </c>
      <c r="C220" s="238">
        <f t="shared" si="8"/>
        <v>27485</v>
      </c>
      <c r="D220" s="238">
        <v>32448</v>
      </c>
      <c r="E220" t="str">
        <f>TEXT(D220,"YYYY-MM-DD")</f>
        <v>1988-11-01</v>
      </c>
      <c r="F220" s="237">
        <f>AVERAGEIFS(B:B,C:C,D220)/100</f>
        <v>0.10265000000000001</v>
      </c>
      <c r="G220" t="str">
        <f t="shared" si="7"/>
        <v>('1988-11-01',0.10265),</v>
      </c>
    </row>
    <row r="221" spans="1:7" ht="16.2" x14ac:dyDescent="0.35">
      <c r="A221" s="20">
        <v>27509</v>
      </c>
      <c r="B221" s="21">
        <v>8.84</v>
      </c>
      <c r="C221" s="238">
        <f t="shared" si="8"/>
        <v>27485</v>
      </c>
      <c r="D221" s="238">
        <v>32478</v>
      </c>
      <c r="E221" t="str">
        <f>TEXT(D221,"YYYY-MM-DD")</f>
        <v>1988-12-01</v>
      </c>
      <c r="F221" s="237">
        <f>AVERAGEIFS(B:B,C:C,D221)/100</f>
        <v>0.10612000000000001</v>
      </c>
      <c r="G221" t="str">
        <f t="shared" si="7"/>
        <v>('1988-12-01',0.10612),</v>
      </c>
    </row>
    <row r="222" spans="1:7" ht="16.2" x14ac:dyDescent="0.35">
      <c r="A222" s="20">
        <v>27516</v>
      </c>
      <c r="B222" s="21">
        <v>8.92</v>
      </c>
      <c r="C222" s="238">
        <f t="shared" si="8"/>
        <v>27515</v>
      </c>
      <c r="D222" s="238">
        <v>32509</v>
      </c>
      <c r="E222" t="str">
        <f>TEXT(D222,"YYYY-MM-DD")</f>
        <v>1989-01-01</v>
      </c>
      <c r="F222" s="237">
        <f>AVERAGEIFS(B:B,C:C,D222)/100</f>
        <v>0.10730000000000001</v>
      </c>
      <c r="G222" t="str">
        <f t="shared" si="7"/>
        <v>('1989-01-01',0.1073),</v>
      </c>
    </row>
    <row r="223" spans="1:7" ht="16.2" x14ac:dyDescent="0.35">
      <c r="A223" s="20">
        <v>27523</v>
      </c>
      <c r="B223" s="21">
        <v>8.8800000000000008</v>
      </c>
      <c r="C223" s="238">
        <f t="shared" si="8"/>
        <v>27515</v>
      </c>
      <c r="D223" s="238">
        <v>32540</v>
      </c>
      <c r="E223" t="str">
        <f>TEXT(D223,"YYYY-MM-DD")</f>
        <v>1989-02-01</v>
      </c>
      <c r="F223" s="237">
        <f>AVERAGEIFS(B:B,C:C,D223)/100</f>
        <v>0.10644999999999999</v>
      </c>
      <c r="G223" t="str">
        <f t="shared" si="7"/>
        <v>('1989-02-01',0.10645),</v>
      </c>
    </row>
    <row r="224" spans="1:7" ht="16.2" x14ac:dyDescent="0.35">
      <c r="A224" s="20">
        <v>27530</v>
      </c>
      <c r="B224" s="21">
        <v>8.92</v>
      </c>
      <c r="C224" s="238">
        <f t="shared" si="8"/>
        <v>27515</v>
      </c>
      <c r="D224" s="238">
        <v>32568</v>
      </c>
      <c r="E224" t="str">
        <f>TEXT(D224,"YYYY-MM-DD")</f>
        <v>1989-03-01</v>
      </c>
      <c r="F224" s="237">
        <f>AVERAGEIFS(B:B,C:C,D224)/100</f>
        <v>0.11032</v>
      </c>
      <c r="G224" t="str">
        <f t="shared" si="7"/>
        <v>('1989-03-01',0.11032),</v>
      </c>
    </row>
    <row r="225" spans="1:7" ht="16.2" x14ac:dyDescent="0.35">
      <c r="A225" s="20">
        <v>27537</v>
      </c>
      <c r="B225" s="21">
        <v>8.92</v>
      </c>
      <c r="C225" s="238">
        <f t="shared" si="8"/>
        <v>27515</v>
      </c>
      <c r="D225" s="238">
        <v>32599</v>
      </c>
      <c r="E225" t="str">
        <f>TEXT(D225,"YYYY-MM-DD")</f>
        <v>1989-04-01</v>
      </c>
      <c r="F225" s="237">
        <f>AVERAGEIFS(B:B,C:C,D225)/100</f>
        <v>0.1105</v>
      </c>
      <c r="G225" t="str">
        <f t="shared" si="7"/>
        <v>('1989-04-01',0.1105),</v>
      </c>
    </row>
    <row r="226" spans="1:7" ht="16.2" x14ac:dyDescent="0.35">
      <c r="A226" s="20">
        <v>27544</v>
      </c>
      <c r="B226" s="21">
        <v>8.89</v>
      </c>
      <c r="C226" s="238">
        <f t="shared" si="8"/>
        <v>27515</v>
      </c>
      <c r="D226" s="238">
        <v>32629</v>
      </c>
      <c r="E226" t="str">
        <f>TEXT(D226,"YYYY-MM-DD")</f>
        <v>1989-05-01</v>
      </c>
      <c r="F226" s="237">
        <f>AVERAGEIFS(B:B,C:C,D226)/100</f>
        <v>0.10772499999999999</v>
      </c>
      <c r="G226" t="str">
        <f t="shared" si="7"/>
        <v>('1989-05-01',0.107725),</v>
      </c>
    </row>
    <row r="227" spans="1:7" ht="16.2" x14ac:dyDescent="0.35">
      <c r="A227" s="20">
        <v>27551</v>
      </c>
      <c r="B227" s="21">
        <v>8.89</v>
      </c>
      <c r="C227" s="238">
        <f t="shared" si="8"/>
        <v>27546</v>
      </c>
      <c r="D227" s="238">
        <v>32660</v>
      </c>
      <c r="E227" t="str">
        <f>TEXT(D227,"YYYY-MM-DD")</f>
        <v>1989-06-01</v>
      </c>
      <c r="F227" s="237">
        <f>AVERAGEIFS(B:B,C:C,D227)/100</f>
        <v>0.10196</v>
      </c>
      <c r="G227" t="str">
        <f t="shared" si="7"/>
        <v>('1989-06-01',0.10196),</v>
      </c>
    </row>
    <row r="228" spans="1:7" ht="16.2" x14ac:dyDescent="0.35">
      <c r="A228" s="20">
        <v>27558</v>
      </c>
      <c r="B228" s="21">
        <v>8.9</v>
      </c>
      <c r="C228" s="238">
        <f t="shared" si="8"/>
        <v>27546</v>
      </c>
      <c r="D228" s="238">
        <v>32690</v>
      </c>
      <c r="E228" t="str">
        <f>TEXT(D228,"YYYY-MM-DD")</f>
        <v>1989-07-01</v>
      </c>
      <c r="F228" s="237">
        <f>AVERAGEIFS(B:B,C:C,D228)/100</f>
        <v>9.8824999999999996E-2</v>
      </c>
      <c r="G228" t="str">
        <f t="shared" si="7"/>
        <v>('1989-07-01',0.098825),</v>
      </c>
    </row>
    <row r="229" spans="1:7" ht="16.2" x14ac:dyDescent="0.35">
      <c r="A229" s="20">
        <v>27565</v>
      </c>
      <c r="B229" s="21">
        <v>8.8800000000000008</v>
      </c>
      <c r="C229" s="238">
        <f t="shared" si="8"/>
        <v>27546</v>
      </c>
      <c r="D229" s="238">
        <v>32721</v>
      </c>
      <c r="E229" t="str">
        <f>TEXT(D229,"YYYY-MM-DD")</f>
        <v>1989-08-01</v>
      </c>
      <c r="F229" s="237">
        <f>AVERAGEIFS(B:B,C:C,D229)/100</f>
        <v>9.9849999999999994E-2</v>
      </c>
      <c r="G229" t="str">
        <f t="shared" si="7"/>
        <v>('1989-08-01',0.09985),</v>
      </c>
    </row>
    <row r="230" spans="1:7" ht="16.2" x14ac:dyDescent="0.35">
      <c r="A230" s="20">
        <v>27572</v>
      </c>
      <c r="B230" s="21">
        <v>8.9</v>
      </c>
      <c r="C230" s="238">
        <f t="shared" si="8"/>
        <v>27546</v>
      </c>
      <c r="D230" s="238">
        <v>32752</v>
      </c>
      <c r="E230" t="str">
        <f>TEXT(D230,"YYYY-MM-DD")</f>
        <v>1989-09-01</v>
      </c>
      <c r="F230" s="237">
        <f>AVERAGEIFS(B:B,C:C,D230)/100</f>
        <v>0.10125999999999999</v>
      </c>
      <c r="G230" t="str">
        <f t="shared" si="7"/>
        <v>('1989-09-01',0.10126),</v>
      </c>
    </row>
    <row r="231" spans="1:7" ht="16.2" x14ac:dyDescent="0.35">
      <c r="A231" s="20">
        <v>27578</v>
      </c>
      <c r="B231" s="21">
        <v>8.8800000000000008</v>
      </c>
      <c r="C231" s="238">
        <f t="shared" si="8"/>
        <v>27576</v>
      </c>
      <c r="D231" s="238">
        <v>32782</v>
      </c>
      <c r="E231" t="str">
        <f>TEXT(D231,"YYYY-MM-DD")</f>
        <v>1989-10-01</v>
      </c>
      <c r="F231" s="237">
        <f>AVERAGEIFS(B:B,C:C,D231)/100</f>
        <v>9.9474999999999994E-2</v>
      </c>
      <c r="G231" t="str">
        <f t="shared" si="7"/>
        <v>('1989-10-01',0.099475),</v>
      </c>
    </row>
    <row r="232" spans="1:7" ht="16.2" x14ac:dyDescent="0.35">
      <c r="A232" s="20">
        <v>27586</v>
      </c>
      <c r="B232" s="21">
        <v>8.9</v>
      </c>
      <c r="C232" s="238">
        <f t="shared" si="8"/>
        <v>27576</v>
      </c>
      <c r="D232" s="238">
        <v>32813</v>
      </c>
      <c r="E232" t="str">
        <f>TEXT(D232,"YYYY-MM-DD")</f>
        <v>1989-11-01</v>
      </c>
      <c r="F232" s="237">
        <f>AVERAGEIFS(B:B,C:C,D232)/100</f>
        <v>9.7674999999999998E-2</v>
      </c>
      <c r="G232" t="str">
        <f t="shared" si="7"/>
        <v>('1989-11-01',0.097675),</v>
      </c>
    </row>
    <row r="233" spans="1:7" ht="16.2" x14ac:dyDescent="0.35">
      <c r="A233" s="20">
        <v>27593</v>
      </c>
      <c r="B233" s="21">
        <v>8.89</v>
      </c>
      <c r="C233" s="238">
        <f t="shared" si="8"/>
        <v>27576</v>
      </c>
      <c r="D233" s="238">
        <v>32843</v>
      </c>
      <c r="E233" t="str">
        <f>TEXT(D233,"YYYY-MM-DD")</f>
        <v>1989-12-01</v>
      </c>
      <c r="F233" s="237">
        <f>AVERAGEIFS(B:B,C:C,D233)/100</f>
        <v>9.7439999999999999E-2</v>
      </c>
      <c r="G233" t="str">
        <f t="shared" si="7"/>
        <v>('1989-12-01',0.09744),</v>
      </c>
    </row>
    <row r="234" spans="1:7" ht="16.2" x14ac:dyDescent="0.35">
      <c r="A234" s="20">
        <v>27600</v>
      </c>
      <c r="B234" s="21">
        <v>8.89</v>
      </c>
      <c r="C234" s="238">
        <f t="shared" si="8"/>
        <v>27576</v>
      </c>
      <c r="D234" s="238">
        <v>32874</v>
      </c>
      <c r="E234" t="str">
        <f>TEXT(D234,"YYYY-MM-DD")</f>
        <v>1990-01-01</v>
      </c>
      <c r="F234" s="237">
        <f>AVERAGEIFS(B:B,C:C,D234)/100</f>
        <v>9.8949999999999996E-2</v>
      </c>
      <c r="G234" t="str">
        <f t="shared" si="7"/>
        <v>('1990-01-01',0.09895),</v>
      </c>
    </row>
    <row r="235" spans="1:7" ht="16.2" x14ac:dyDescent="0.35">
      <c r="A235" s="20">
        <v>27607</v>
      </c>
      <c r="B235" s="21">
        <v>8.89</v>
      </c>
      <c r="C235" s="238">
        <f t="shared" si="8"/>
        <v>27607</v>
      </c>
      <c r="D235" s="238">
        <v>32905</v>
      </c>
      <c r="E235" t="str">
        <f>TEXT(D235,"YYYY-MM-DD")</f>
        <v>1990-02-01</v>
      </c>
      <c r="F235" s="237">
        <f>AVERAGEIFS(B:B,C:C,D235)/100</f>
        <v>0.10197500000000001</v>
      </c>
      <c r="G235" t="str">
        <f t="shared" si="7"/>
        <v>('1990-02-01',0.101975),</v>
      </c>
    </row>
    <row r="236" spans="1:7" ht="16.2" x14ac:dyDescent="0.35">
      <c r="A236" s="20">
        <v>27614</v>
      </c>
      <c r="B236" s="21">
        <v>8.89</v>
      </c>
      <c r="C236" s="238">
        <f t="shared" si="8"/>
        <v>27607</v>
      </c>
      <c r="D236" s="238">
        <v>32933</v>
      </c>
      <c r="E236" t="str">
        <f>TEXT(D236,"YYYY-MM-DD")</f>
        <v>1990-03-01</v>
      </c>
      <c r="F236" s="237">
        <f>AVERAGEIFS(B:B,C:C,D236)/100</f>
        <v>0.10267999999999999</v>
      </c>
      <c r="G236" t="str">
        <f t="shared" si="7"/>
        <v>('1990-03-01',0.10268),</v>
      </c>
    </row>
    <row r="237" spans="1:7" ht="16.2" x14ac:dyDescent="0.35">
      <c r="A237" s="20">
        <v>27621</v>
      </c>
      <c r="B237" s="21">
        <v>8.93</v>
      </c>
      <c r="C237" s="238">
        <f t="shared" si="8"/>
        <v>27607</v>
      </c>
      <c r="D237" s="238">
        <v>32964</v>
      </c>
      <c r="E237" t="str">
        <f>TEXT(D237,"YYYY-MM-DD")</f>
        <v>1990-04-01</v>
      </c>
      <c r="F237" s="237">
        <f>AVERAGEIFS(B:B,C:C,D237)/100</f>
        <v>0.10369999999999999</v>
      </c>
      <c r="G237" t="str">
        <f t="shared" si="7"/>
        <v>('1990-04-01',0.1037),</v>
      </c>
    </row>
    <row r="238" spans="1:7" ht="16.2" x14ac:dyDescent="0.35">
      <c r="A238" s="20">
        <v>27628</v>
      </c>
      <c r="B238" s="21">
        <v>8.98</v>
      </c>
      <c r="C238" s="238">
        <f t="shared" si="8"/>
        <v>27607</v>
      </c>
      <c r="D238" s="238">
        <v>32994</v>
      </c>
      <c r="E238" t="str">
        <f>TEXT(D238,"YYYY-MM-DD")</f>
        <v>1990-05-01</v>
      </c>
      <c r="F238" s="237">
        <f>AVERAGEIFS(B:B,C:C,D238)/100</f>
        <v>0.10477499999999999</v>
      </c>
      <c r="G238" t="str">
        <f t="shared" si="7"/>
        <v>('1990-05-01',0.104775),</v>
      </c>
    </row>
    <row r="239" spans="1:7" ht="16.2" x14ac:dyDescent="0.35">
      <c r="A239" s="20">
        <v>27635</v>
      </c>
      <c r="B239" s="21">
        <v>9.02</v>
      </c>
      <c r="C239" s="238">
        <f t="shared" si="8"/>
        <v>27607</v>
      </c>
      <c r="D239" s="238">
        <v>33025</v>
      </c>
      <c r="E239" t="str">
        <f>TEXT(D239,"YYYY-MM-DD")</f>
        <v>1990-06-01</v>
      </c>
      <c r="F239" s="237">
        <f>AVERAGEIFS(B:B,C:C,D239)/100</f>
        <v>0.10163999999999999</v>
      </c>
      <c r="G239" t="str">
        <f t="shared" si="7"/>
        <v>('1990-06-01',0.10164),</v>
      </c>
    </row>
    <row r="240" spans="1:7" ht="16.2" x14ac:dyDescent="0.35">
      <c r="A240" s="20">
        <v>27642</v>
      </c>
      <c r="B240" s="21">
        <v>9.08</v>
      </c>
      <c r="C240" s="238">
        <f t="shared" si="8"/>
        <v>27638</v>
      </c>
      <c r="D240" s="238">
        <v>33055</v>
      </c>
      <c r="E240" t="str">
        <f>TEXT(D240,"YYYY-MM-DD")</f>
        <v>1990-07-01</v>
      </c>
      <c r="F240" s="237">
        <f>AVERAGEIFS(B:B,C:C,D240)/100</f>
        <v>0.10034999999999999</v>
      </c>
      <c r="G240" t="str">
        <f t="shared" si="7"/>
        <v>('1990-07-01',0.10035),</v>
      </c>
    </row>
    <row r="241" spans="1:7" ht="16.2" x14ac:dyDescent="0.35">
      <c r="A241" s="20">
        <v>27649</v>
      </c>
      <c r="B241" s="21">
        <v>9.16</v>
      </c>
      <c r="C241" s="238">
        <f t="shared" si="8"/>
        <v>27638</v>
      </c>
      <c r="D241" s="238">
        <v>33086</v>
      </c>
      <c r="E241" t="str">
        <f>TEXT(D241,"YYYY-MM-DD")</f>
        <v>1990-08-01</v>
      </c>
      <c r="F241" s="237">
        <f>AVERAGEIFS(B:B,C:C,D241)/100</f>
        <v>0.10100000000000002</v>
      </c>
      <c r="G241" t="str">
        <f t="shared" si="7"/>
        <v>('1990-08-01',0.101),</v>
      </c>
    </row>
    <row r="242" spans="1:7" ht="16.2" x14ac:dyDescent="0.35">
      <c r="A242" s="20">
        <v>27656</v>
      </c>
      <c r="B242" s="21">
        <v>9.14</v>
      </c>
      <c r="C242" s="238">
        <f t="shared" si="8"/>
        <v>27638</v>
      </c>
      <c r="D242" s="238">
        <v>33117</v>
      </c>
      <c r="E242" t="str">
        <f>TEXT(D242,"YYYY-MM-DD")</f>
        <v>1990-09-01</v>
      </c>
      <c r="F242" s="237">
        <f>AVERAGEIFS(B:B,C:C,D242)/100</f>
        <v>0.10175000000000001</v>
      </c>
      <c r="G242" t="str">
        <f t="shared" si="7"/>
        <v>('1990-09-01',0.10175),</v>
      </c>
    </row>
    <row r="243" spans="1:7" ht="16.2" x14ac:dyDescent="0.35">
      <c r="A243" s="20">
        <v>27663</v>
      </c>
      <c r="B243" s="21">
        <v>9.14</v>
      </c>
      <c r="C243" s="238">
        <f t="shared" si="8"/>
        <v>27638</v>
      </c>
      <c r="D243" s="238">
        <v>33147</v>
      </c>
      <c r="E243" t="str">
        <f>TEXT(D243,"YYYY-MM-DD")</f>
        <v>1990-10-01</v>
      </c>
      <c r="F243" s="237">
        <f>AVERAGEIFS(B:B,C:C,D243)/100</f>
        <v>0.101775</v>
      </c>
      <c r="G243" t="str">
        <f t="shared" si="7"/>
        <v>('1990-10-01',0.101775),</v>
      </c>
    </row>
    <row r="244" spans="1:7" ht="16.2" x14ac:dyDescent="0.35">
      <c r="A244" s="20">
        <v>27670</v>
      </c>
      <c r="B244" s="21">
        <v>9.1999999999999993</v>
      </c>
      <c r="C244" s="238">
        <f t="shared" si="8"/>
        <v>27668</v>
      </c>
      <c r="D244" s="238">
        <v>33178</v>
      </c>
      <c r="E244" t="str">
        <f>TEXT(D244,"YYYY-MM-DD")</f>
        <v>1990-11-01</v>
      </c>
      <c r="F244" s="237">
        <f>AVERAGEIFS(B:B,C:C,D244)/100</f>
        <v>0.10013999999999999</v>
      </c>
      <c r="G244" t="str">
        <f t="shared" si="7"/>
        <v>('1990-11-01',0.10014),</v>
      </c>
    </row>
    <row r="245" spans="1:7" ht="16.2" x14ac:dyDescent="0.35">
      <c r="A245" s="20">
        <v>27677</v>
      </c>
      <c r="B245" s="21">
        <v>9.2100000000000009</v>
      </c>
      <c r="C245" s="238">
        <f t="shared" si="8"/>
        <v>27668</v>
      </c>
      <c r="D245" s="238">
        <v>33208</v>
      </c>
      <c r="E245" t="str">
        <f>TEXT(D245,"YYYY-MM-DD")</f>
        <v>1990-12-01</v>
      </c>
      <c r="F245" s="237">
        <f>AVERAGEIFS(B:B,C:C,D245)/100</f>
        <v>9.6724999999999992E-2</v>
      </c>
      <c r="G245" t="str">
        <f t="shared" si="7"/>
        <v>('1990-12-01',0.096725),</v>
      </c>
    </row>
    <row r="246" spans="1:7" ht="16.2" x14ac:dyDescent="0.35">
      <c r="A246" s="20">
        <v>27684</v>
      </c>
      <c r="B246" s="21">
        <v>9.2100000000000009</v>
      </c>
      <c r="C246" s="238">
        <f t="shared" si="8"/>
        <v>27668</v>
      </c>
      <c r="D246" s="238">
        <v>33239</v>
      </c>
      <c r="E246" t="str">
        <f>TEXT(D246,"YYYY-MM-DD")</f>
        <v>1991-01-01</v>
      </c>
      <c r="F246" s="237">
        <f>AVERAGEIFS(B:B,C:C,D246)/100</f>
        <v>9.6374999999999988E-2</v>
      </c>
      <c r="G246" t="str">
        <f t="shared" si="7"/>
        <v>('1991-01-01',0.096375),</v>
      </c>
    </row>
    <row r="247" spans="1:7" ht="16.2" x14ac:dyDescent="0.35">
      <c r="A247" s="20">
        <v>27691</v>
      </c>
      <c r="B247" s="21">
        <v>9.26</v>
      </c>
      <c r="C247" s="238">
        <f t="shared" si="8"/>
        <v>27668</v>
      </c>
      <c r="D247" s="238">
        <v>33270</v>
      </c>
      <c r="E247" t="str">
        <f>TEXT(D247,"YYYY-MM-DD")</f>
        <v>1991-02-01</v>
      </c>
      <c r="F247" s="237">
        <f>AVERAGEIFS(B:B,C:C,D247)/100</f>
        <v>9.3649999999999997E-2</v>
      </c>
      <c r="G247" t="str">
        <f t="shared" si="7"/>
        <v>('1991-02-01',0.09365),</v>
      </c>
    </row>
    <row r="248" spans="1:7" ht="16.2" x14ac:dyDescent="0.35">
      <c r="A248" s="20">
        <v>27698</v>
      </c>
      <c r="B248" s="21">
        <v>9.24</v>
      </c>
      <c r="C248" s="238">
        <f t="shared" si="8"/>
        <v>27668</v>
      </c>
      <c r="D248" s="238">
        <v>33298</v>
      </c>
      <c r="E248" t="str">
        <f>TEXT(D248,"YYYY-MM-DD")</f>
        <v>1991-03-01</v>
      </c>
      <c r="F248" s="237">
        <f>AVERAGEIFS(B:B,C:C,D248)/100</f>
        <v>9.5000000000000001E-2</v>
      </c>
      <c r="G248" t="str">
        <f t="shared" si="7"/>
        <v>('1991-03-01',0.095),</v>
      </c>
    </row>
    <row r="249" spans="1:7" ht="16.2" x14ac:dyDescent="0.35">
      <c r="A249" s="20">
        <v>27705</v>
      </c>
      <c r="B249" s="21">
        <v>9.19</v>
      </c>
      <c r="C249" s="238">
        <f t="shared" si="8"/>
        <v>27699</v>
      </c>
      <c r="D249" s="238">
        <v>33329</v>
      </c>
      <c r="E249" t="str">
        <f>TEXT(D249,"YYYY-MM-DD")</f>
        <v>1991-04-01</v>
      </c>
      <c r="F249" s="237">
        <f>AVERAGEIFS(B:B,C:C,D249)/100</f>
        <v>9.4924999999999995E-2</v>
      </c>
      <c r="G249" t="str">
        <f t="shared" si="7"/>
        <v>('1991-04-01',0.094925),</v>
      </c>
    </row>
    <row r="250" spans="1:7" ht="16.2" x14ac:dyDescent="0.35">
      <c r="A250" s="20">
        <v>27712</v>
      </c>
      <c r="B250" s="21">
        <v>9.16</v>
      </c>
      <c r="C250" s="238">
        <f t="shared" si="8"/>
        <v>27699</v>
      </c>
      <c r="D250" s="238">
        <v>33359</v>
      </c>
      <c r="E250" t="str">
        <f>TEXT(D250,"YYYY-MM-DD")</f>
        <v>1991-05-01</v>
      </c>
      <c r="F250" s="237">
        <f>AVERAGEIFS(B:B,C:C,D250)/100</f>
        <v>9.4719999999999999E-2</v>
      </c>
      <c r="G250" t="str">
        <f t="shared" si="7"/>
        <v>('1991-05-01',0.09472),</v>
      </c>
    </row>
    <row r="251" spans="1:7" ht="16.2" x14ac:dyDescent="0.35">
      <c r="A251" s="20">
        <v>27719</v>
      </c>
      <c r="B251" s="21">
        <v>9.1199999999999992</v>
      </c>
      <c r="C251" s="238">
        <f t="shared" si="8"/>
        <v>27699</v>
      </c>
      <c r="D251" s="238">
        <v>33390</v>
      </c>
      <c r="E251" t="str">
        <f>TEXT(D251,"YYYY-MM-DD")</f>
        <v>1991-06-01</v>
      </c>
      <c r="F251" s="237">
        <f>AVERAGEIFS(B:B,C:C,D251)/100</f>
        <v>9.6149999999999999E-2</v>
      </c>
      <c r="G251" t="str">
        <f t="shared" si="7"/>
        <v>('1991-06-01',0.09615),</v>
      </c>
    </row>
    <row r="252" spans="1:7" ht="16.2" x14ac:dyDescent="0.35">
      <c r="A252" s="20">
        <v>27726</v>
      </c>
      <c r="B252" s="21">
        <v>9.11</v>
      </c>
      <c r="C252" s="238">
        <f t="shared" si="8"/>
        <v>27699</v>
      </c>
      <c r="D252" s="238">
        <v>33420</v>
      </c>
      <c r="E252" t="str">
        <f>TEXT(D252,"YYYY-MM-DD")</f>
        <v>1991-07-01</v>
      </c>
      <c r="F252" s="237">
        <f>AVERAGEIFS(B:B,C:C,D252)/100</f>
        <v>9.5749999999999988E-2</v>
      </c>
      <c r="G252" t="str">
        <f t="shared" si="7"/>
        <v>('1991-07-01',0.09575),</v>
      </c>
    </row>
    <row r="253" spans="1:7" ht="16.2" x14ac:dyDescent="0.35">
      <c r="A253" s="20">
        <v>27733</v>
      </c>
      <c r="B253" s="21">
        <v>9.11</v>
      </c>
      <c r="C253" s="238">
        <f t="shared" si="8"/>
        <v>27729</v>
      </c>
      <c r="D253" s="238">
        <v>33451</v>
      </c>
      <c r="E253" t="str">
        <f>TEXT(D253,"YYYY-MM-DD")</f>
        <v>1991-08-01</v>
      </c>
      <c r="F253" s="237">
        <f>AVERAGEIFS(B:B,C:C,D253)/100</f>
        <v>9.2439999999999994E-2</v>
      </c>
      <c r="G253" t="str">
        <f t="shared" si="7"/>
        <v>('1991-08-01',0.09244),</v>
      </c>
    </row>
    <row r="254" spans="1:7" ht="16.2" x14ac:dyDescent="0.35">
      <c r="A254" s="20">
        <v>27740</v>
      </c>
      <c r="B254" s="21">
        <v>9.11</v>
      </c>
      <c r="C254" s="238">
        <f t="shared" si="8"/>
        <v>27729</v>
      </c>
      <c r="D254" s="238">
        <v>33482</v>
      </c>
      <c r="E254" t="str">
        <f>TEXT(D254,"YYYY-MM-DD")</f>
        <v>1991-09-01</v>
      </c>
      <c r="F254" s="237">
        <f>AVERAGEIFS(B:B,C:C,D254)/100</f>
        <v>9.0075000000000002E-2</v>
      </c>
      <c r="G254" t="str">
        <f t="shared" si="7"/>
        <v>('1991-09-01',0.090075),</v>
      </c>
    </row>
    <row r="255" spans="1:7" ht="16.2" x14ac:dyDescent="0.35">
      <c r="A255" s="20">
        <v>27747</v>
      </c>
      <c r="B255" s="21">
        <v>9.08</v>
      </c>
      <c r="C255" s="238">
        <f t="shared" si="8"/>
        <v>27729</v>
      </c>
      <c r="D255" s="238">
        <v>33512</v>
      </c>
      <c r="E255" t="str">
        <f>TEXT(D255,"YYYY-MM-DD")</f>
        <v>1991-10-01</v>
      </c>
      <c r="F255" s="237">
        <f>AVERAGEIFS(B:B,C:C,D255)/100</f>
        <v>8.8550000000000004E-2</v>
      </c>
      <c r="G255" t="str">
        <f t="shared" si="7"/>
        <v>('1991-10-01',0.08855),</v>
      </c>
    </row>
    <row r="256" spans="1:7" ht="16.2" x14ac:dyDescent="0.35">
      <c r="A256" s="20">
        <v>27754</v>
      </c>
      <c r="B256" s="21">
        <v>9.09</v>
      </c>
      <c r="C256" s="238">
        <f t="shared" si="8"/>
        <v>27729</v>
      </c>
      <c r="D256" s="238">
        <v>33543</v>
      </c>
      <c r="E256" t="str">
        <f>TEXT(D256,"YYYY-MM-DD")</f>
        <v>1991-11-01</v>
      </c>
      <c r="F256" s="237">
        <f>AVERAGEIFS(B:B,C:C,D256)/100</f>
        <v>8.7120000000000003E-2</v>
      </c>
      <c r="G256" t="str">
        <f t="shared" si="7"/>
        <v>('1991-11-01',0.08712),</v>
      </c>
    </row>
    <row r="257" spans="1:7" ht="16.2" x14ac:dyDescent="0.35">
      <c r="A257" s="20">
        <v>27761</v>
      </c>
      <c r="B257" s="21">
        <v>9.1</v>
      </c>
      <c r="C257" s="238">
        <f t="shared" si="8"/>
        <v>27760</v>
      </c>
      <c r="D257" s="238">
        <v>33573</v>
      </c>
      <c r="E257" t="str">
        <f>TEXT(D257,"YYYY-MM-DD")</f>
        <v>1991-12-01</v>
      </c>
      <c r="F257" s="237">
        <f>AVERAGEIFS(B:B,C:C,D257)/100</f>
        <v>8.4975000000000009E-2</v>
      </c>
      <c r="G257" t="str">
        <f t="shared" si="7"/>
        <v>('1991-12-01',0.084975),</v>
      </c>
    </row>
    <row r="258" spans="1:7" ht="16.2" x14ac:dyDescent="0.35">
      <c r="A258" s="20">
        <v>27768</v>
      </c>
      <c r="B258" s="21">
        <v>9.07</v>
      </c>
      <c r="C258" s="238">
        <f t="shared" si="8"/>
        <v>27760</v>
      </c>
      <c r="D258" s="238">
        <v>33604</v>
      </c>
      <c r="E258" t="str">
        <f>TEXT(D258,"YYYY-MM-DD")</f>
        <v>1992-01-01</v>
      </c>
      <c r="F258" s="237">
        <f>AVERAGEIFS(B:B,C:C,D258)/100</f>
        <v>8.4319999999999992E-2</v>
      </c>
      <c r="G258" t="str">
        <f t="shared" si="7"/>
        <v>('1992-01-01',0.08432),</v>
      </c>
    </row>
    <row r="259" spans="1:7" ht="16.2" x14ac:dyDescent="0.35">
      <c r="A259" s="20">
        <v>27775</v>
      </c>
      <c r="B259" s="21">
        <v>9.01</v>
      </c>
      <c r="C259" s="238">
        <f t="shared" si="8"/>
        <v>27760</v>
      </c>
      <c r="D259" s="238">
        <v>33635</v>
      </c>
      <c r="E259" t="str">
        <f>TEXT(D259,"YYYY-MM-DD")</f>
        <v>1992-02-01</v>
      </c>
      <c r="F259" s="237">
        <f>AVERAGEIFS(B:B,C:C,D259)/100</f>
        <v>8.7624999999999995E-2</v>
      </c>
      <c r="G259" t="str">
        <f t="shared" si="7"/>
        <v>('1992-02-01',0.087625),</v>
      </c>
    </row>
    <row r="260" spans="1:7" ht="16.2" x14ac:dyDescent="0.35">
      <c r="A260" s="20">
        <v>27782</v>
      </c>
      <c r="B260" s="21">
        <v>9</v>
      </c>
      <c r="C260" s="238">
        <f t="shared" si="8"/>
        <v>27760</v>
      </c>
      <c r="D260" s="238">
        <v>33664</v>
      </c>
      <c r="E260" t="str">
        <f>TEXT(D260,"YYYY-MM-DD")</f>
        <v>1992-03-01</v>
      </c>
      <c r="F260" s="237">
        <f>AVERAGEIFS(B:B,C:C,D260)/100</f>
        <v>8.9349999999999985E-2</v>
      </c>
      <c r="G260" t="str">
        <f t="shared" si="7"/>
        <v>('1992-03-01',0.08935),</v>
      </c>
    </row>
    <row r="261" spans="1:7" ht="16.2" x14ac:dyDescent="0.35">
      <c r="A261" s="20">
        <v>27789</v>
      </c>
      <c r="B261" s="21">
        <v>8.9</v>
      </c>
      <c r="C261" s="238">
        <f t="shared" si="8"/>
        <v>27760</v>
      </c>
      <c r="D261" s="238">
        <v>33695</v>
      </c>
      <c r="E261" t="str">
        <f>TEXT(D261,"YYYY-MM-DD")</f>
        <v>1992-04-01</v>
      </c>
      <c r="F261" s="237">
        <f>AVERAGEIFS(B:B,C:C,D261)/100</f>
        <v>8.8525000000000006E-2</v>
      </c>
      <c r="G261" t="str">
        <f t="shared" si="7"/>
        <v>('1992-04-01',0.088525),</v>
      </c>
    </row>
    <row r="262" spans="1:7" ht="16.2" x14ac:dyDescent="0.35">
      <c r="A262" s="20">
        <v>27796</v>
      </c>
      <c r="B262" s="21">
        <v>8.86</v>
      </c>
      <c r="C262" s="238">
        <f t="shared" si="8"/>
        <v>27791</v>
      </c>
      <c r="D262" s="238">
        <v>33725</v>
      </c>
      <c r="E262" t="str">
        <f>TEXT(D262,"YYYY-MM-DD")</f>
        <v>1992-05-01</v>
      </c>
      <c r="F262" s="237">
        <f>AVERAGEIFS(B:B,C:C,D262)/100</f>
        <v>8.6720000000000005E-2</v>
      </c>
      <c r="G262" t="str">
        <f t="shared" si="7"/>
        <v>('1992-05-01',0.08672),</v>
      </c>
    </row>
    <row r="263" spans="1:7" ht="16.2" x14ac:dyDescent="0.35">
      <c r="A263" s="20">
        <v>27803</v>
      </c>
      <c r="B263" s="21">
        <v>8.83</v>
      </c>
      <c r="C263" s="238">
        <f t="shared" si="8"/>
        <v>27791</v>
      </c>
      <c r="D263" s="238">
        <v>33756</v>
      </c>
      <c r="E263" t="str">
        <f>TEXT(D263,"YYYY-MM-DD")</f>
        <v>1992-06-01</v>
      </c>
      <c r="F263" s="237">
        <f>AVERAGEIFS(B:B,C:C,D263)/100</f>
        <v>8.5099999999999995E-2</v>
      </c>
      <c r="G263" t="str">
        <f t="shared" si="7"/>
        <v>('1992-06-01',0.0851),</v>
      </c>
    </row>
    <row r="264" spans="1:7" ht="16.2" x14ac:dyDescent="0.35">
      <c r="A264" s="20">
        <v>27810</v>
      </c>
      <c r="B264" s="21">
        <v>8.81</v>
      </c>
      <c r="C264" s="238">
        <f t="shared" si="8"/>
        <v>27791</v>
      </c>
      <c r="D264" s="238">
        <v>33786</v>
      </c>
      <c r="E264" t="str">
        <f>TEXT(D264,"YYYY-MM-DD")</f>
        <v>1992-07-01</v>
      </c>
      <c r="F264" s="237">
        <f>AVERAGEIFS(B:B,C:C,D264)/100</f>
        <v>8.1280000000000005E-2</v>
      </c>
      <c r="G264" t="str">
        <f t="shared" si="7"/>
        <v>('1992-07-01',0.08128),</v>
      </c>
    </row>
    <row r="265" spans="1:7" ht="16.2" x14ac:dyDescent="0.35">
      <c r="A265" s="20">
        <v>27817</v>
      </c>
      <c r="B265" s="21">
        <v>8.75</v>
      </c>
      <c r="C265" s="238">
        <f t="shared" si="8"/>
        <v>27791</v>
      </c>
      <c r="D265" s="238">
        <v>33817</v>
      </c>
      <c r="E265" t="str">
        <f>TEXT(D265,"YYYY-MM-DD")</f>
        <v>1992-08-01</v>
      </c>
      <c r="F265" s="237">
        <f>AVERAGEIFS(B:B,C:C,D265)/100</f>
        <v>7.9750000000000001E-2</v>
      </c>
      <c r="G265" t="str">
        <f t="shared" si="7"/>
        <v>('1992-08-01',0.07975),</v>
      </c>
    </row>
    <row r="266" spans="1:7" ht="16.2" x14ac:dyDescent="0.35">
      <c r="A266" s="20">
        <v>27824</v>
      </c>
      <c r="B266" s="21">
        <v>8.77</v>
      </c>
      <c r="C266" s="238">
        <f t="shared" si="8"/>
        <v>27820</v>
      </c>
      <c r="D266" s="238">
        <v>33848</v>
      </c>
      <c r="E266" t="str">
        <f>TEXT(D266,"YYYY-MM-DD")</f>
        <v>1992-09-01</v>
      </c>
      <c r="F266" s="237">
        <f>AVERAGEIFS(B:B,C:C,D266)/100</f>
        <v>7.9225000000000004E-2</v>
      </c>
      <c r="G266" t="str">
        <f t="shared" si="7"/>
        <v>('1992-09-01',0.079225),</v>
      </c>
    </row>
    <row r="267" spans="1:7" ht="16.2" x14ac:dyDescent="0.35">
      <c r="A267" s="20">
        <v>27831</v>
      </c>
      <c r="B267" s="21">
        <v>8.75</v>
      </c>
      <c r="C267" s="238">
        <f t="shared" si="8"/>
        <v>27820</v>
      </c>
      <c r="D267" s="238">
        <v>33878</v>
      </c>
      <c r="E267" t="str">
        <f>TEXT(D267,"YYYY-MM-DD")</f>
        <v>1992-10-01</v>
      </c>
      <c r="F267" s="237">
        <f>AVERAGEIFS(B:B,C:C,D267)/100</f>
        <v>8.0880000000000007E-2</v>
      </c>
      <c r="G267" t="str">
        <f t="shared" ref="G267:G330" si="9">"('"&amp;E267&amp;"',"&amp;F267&amp;")"&amp;IF(LEN(E268)+LEN(F268)&gt;0,",",";")</f>
        <v>('1992-10-01',0.08088),</v>
      </c>
    </row>
    <row r="268" spans="1:7" ht="16.2" x14ac:dyDescent="0.35">
      <c r="A268" s="20">
        <v>27838</v>
      </c>
      <c r="B268" s="21">
        <v>8.75</v>
      </c>
      <c r="C268" s="238">
        <f t="shared" si="8"/>
        <v>27820</v>
      </c>
      <c r="D268" s="238">
        <v>33909</v>
      </c>
      <c r="E268" t="str">
        <f>TEXT(D268,"YYYY-MM-DD")</f>
        <v>1992-11-01</v>
      </c>
      <c r="F268" s="237">
        <f>AVERAGEIFS(B:B,C:C,D268)/100</f>
        <v>8.3049999999999999E-2</v>
      </c>
      <c r="G268" t="str">
        <f t="shared" si="9"/>
        <v>('1992-11-01',0.08305),</v>
      </c>
    </row>
    <row r="269" spans="1:7" ht="16.2" x14ac:dyDescent="0.35">
      <c r="A269" s="20">
        <v>27845</v>
      </c>
      <c r="B269" s="21">
        <v>8.75</v>
      </c>
      <c r="C269" s="238">
        <f t="shared" si="8"/>
        <v>27820</v>
      </c>
      <c r="D269" s="238">
        <v>33939</v>
      </c>
      <c r="E269" t="str">
        <f>TEXT(D269,"YYYY-MM-DD")</f>
        <v>1992-12-01</v>
      </c>
      <c r="F269" s="237">
        <f>AVERAGEIFS(B:B,C:C,D269)/100</f>
        <v>8.2059999999999994E-2</v>
      </c>
      <c r="G269" t="str">
        <f t="shared" si="9"/>
        <v>('1992-12-01',0.08206),</v>
      </c>
    </row>
    <row r="270" spans="1:7" ht="16.2" x14ac:dyDescent="0.35">
      <c r="A270" s="20">
        <v>27852</v>
      </c>
      <c r="B270" s="21">
        <v>8.6999999999999993</v>
      </c>
      <c r="C270" s="238">
        <f t="shared" si="8"/>
        <v>27851</v>
      </c>
      <c r="D270" s="238">
        <v>33970</v>
      </c>
      <c r="E270" t="str">
        <f>TEXT(D270,"YYYY-MM-DD")</f>
        <v>1993-01-01</v>
      </c>
      <c r="F270" s="237">
        <f>AVERAGEIFS(B:B,C:C,D270)/100</f>
        <v>7.9924999999999996E-2</v>
      </c>
      <c r="G270" t="str">
        <f t="shared" si="9"/>
        <v>('1993-01-01',0.079925),</v>
      </c>
    </row>
    <row r="271" spans="1:7" ht="16.2" x14ac:dyDescent="0.35">
      <c r="A271" s="20">
        <v>27859</v>
      </c>
      <c r="B271" s="21">
        <v>8.6999999999999993</v>
      </c>
      <c r="C271" s="238">
        <f t="shared" si="8"/>
        <v>27851</v>
      </c>
      <c r="D271" s="238">
        <v>34001</v>
      </c>
      <c r="E271" t="str">
        <f>TEXT(D271,"YYYY-MM-DD")</f>
        <v>1993-02-01</v>
      </c>
      <c r="F271" s="237">
        <f>AVERAGEIFS(B:B,C:C,D271)/100</f>
        <v>7.6825000000000004E-2</v>
      </c>
      <c r="G271" t="str">
        <f t="shared" si="9"/>
        <v>('1993-02-01',0.076825),</v>
      </c>
    </row>
    <row r="272" spans="1:7" ht="16.2" x14ac:dyDescent="0.35">
      <c r="A272" s="20">
        <v>27866</v>
      </c>
      <c r="B272" s="21">
        <v>8.75</v>
      </c>
      <c r="C272" s="238">
        <f t="shared" ref="C272:C335" si="10">EOMONTH(A272,-1)+1</f>
        <v>27851</v>
      </c>
      <c r="D272" s="238">
        <v>34029</v>
      </c>
      <c r="E272" t="str">
        <f>TEXT(D272,"YYYY-MM-DD")</f>
        <v>1993-03-01</v>
      </c>
      <c r="F272" s="237">
        <f>AVERAGEIFS(B:B,C:C,D272)/100</f>
        <v>7.4950000000000003E-2</v>
      </c>
      <c r="G272" t="str">
        <f t="shared" si="9"/>
        <v>('1993-03-01',0.07495),</v>
      </c>
    </row>
    <row r="273" spans="1:7" ht="16.2" x14ac:dyDescent="0.35">
      <c r="A273" s="20">
        <v>27873</v>
      </c>
      <c r="B273" s="21">
        <v>8.75</v>
      </c>
      <c r="C273" s="238">
        <f t="shared" si="10"/>
        <v>27851</v>
      </c>
      <c r="D273" s="238">
        <v>34060</v>
      </c>
      <c r="E273" t="str">
        <f>TEXT(D273,"YYYY-MM-DD")</f>
        <v>1993-04-01</v>
      </c>
      <c r="F273" s="237">
        <f>AVERAGEIFS(B:B,C:C,D273)/100</f>
        <v>7.4719999999999995E-2</v>
      </c>
      <c r="G273" t="str">
        <f t="shared" si="9"/>
        <v>('1993-04-01',0.07472),</v>
      </c>
    </row>
    <row r="274" spans="1:7" ht="16.2" x14ac:dyDescent="0.35">
      <c r="A274" s="20">
        <v>27880</v>
      </c>
      <c r="B274" s="21">
        <v>8.75</v>
      </c>
      <c r="C274" s="238">
        <f t="shared" si="10"/>
        <v>27851</v>
      </c>
      <c r="D274" s="238">
        <v>34090</v>
      </c>
      <c r="E274" t="str">
        <f>TEXT(D274,"YYYY-MM-DD")</f>
        <v>1993-05-01</v>
      </c>
      <c r="F274" s="237">
        <f>AVERAGEIFS(B:B,C:C,D274)/100</f>
        <v>7.4649999999999994E-2</v>
      </c>
      <c r="G274" t="str">
        <f t="shared" si="9"/>
        <v>('1993-05-01',0.07465),</v>
      </c>
    </row>
    <row r="275" spans="1:7" ht="16.2" x14ac:dyDescent="0.35">
      <c r="A275" s="20">
        <v>27887</v>
      </c>
      <c r="B275" s="21">
        <v>8.75</v>
      </c>
      <c r="C275" s="238">
        <f t="shared" si="10"/>
        <v>27881</v>
      </c>
      <c r="D275" s="238">
        <v>34121</v>
      </c>
      <c r="E275" t="str">
        <f>TEXT(D275,"YYYY-MM-DD")</f>
        <v>1993-06-01</v>
      </c>
      <c r="F275" s="237">
        <f>AVERAGEIFS(B:B,C:C,D275)/100</f>
        <v>7.4174999999999991E-2</v>
      </c>
      <c r="G275" t="str">
        <f t="shared" si="9"/>
        <v>('1993-06-01',0.074175),</v>
      </c>
    </row>
    <row r="276" spans="1:7" ht="16.2" x14ac:dyDescent="0.35">
      <c r="A276" s="20">
        <v>27894</v>
      </c>
      <c r="B276" s="21">
        <v>8.75</v>
      </c>
      <c r="C276" s="238">
        <f t="shared" si="10"/>
        <v>27881</v>
      </c>
      <c r="D276" s="238">
        <v>34151</v>
      </c>
      <c r="E276" t="str">
        <f>TEXT(D276,"YYYY-MM-DD")</f>
        <v>1993-07-01</v>
      </c>
      <c r="F276" s="237">
        <f>AVERAGEIFS(B:B,C:C,D276)/100</f>
        <v>7.2059999999999999E-2</v>
      </c>
      <c r="G276" t="str">
        <f t="shared" si="9"/>
        <v>('1993-07-01',0.07206),</v>
      </c>
    </row>
    <row r="277" spans="1:7" ht="16.2" x14ac:dyDescent="0.35">
      <c r="A277" s="20">
        <v>27901</v>
      </c>
      <c r="B277" s="21">
        <v>8.7799999999999994</v>
      </c>
      <c r="C277" s="238">
        <f t="shared" si="10"/>
        <v>27881</v>
      </c>
      <c r="D277" s="238">
        <v>34182</v>
      </c>
      <c r="E277" t="str">
        <f>TEXT(D277,"YYYY-MM-DD")</f>
        <v>1993-08-01</v>
      </c>
      <c r="F277" s="237">
        <f>AVERAGEIFS(B:B,C:C,D277)/100</f>
        <v>7.1124999999999994E-2</v>
      </c>
      <c r="G277" t="str">
        <f t="shared" si="9"/>
        <v>('1993-08-01',0.071125),</v>
      </c>
    </row>
    <row r="278" spans="1:7" ht="16.2" x14ac:dyDescent="0.35">
      <c r="A278" s="20">
        <v>27908</v>
      </c>
      <c r="B278" s="21">
        <v>8.7799999999999994</v>
      </c>
      <c r="C278" s="238">
        <f t="shared" si="10"/>
        <v>27881</v>
      </c>
      <c r="D278" s="238">
        <v>34213</v>
      </c>
      <c r="E278" t="str">
        <f>TEXT(D278,"YYYY-MM-DD")</f>
        <v>1993-09-01</v>
      </c>
      <c r="F278" s="237">
        <f>AVERAGEIFS(B:B,C:C,D278)/100</f>
        <v>6.9150000000000003E-2</v>
      </c>
      <c r="G278" t="str">
        <f t="shared" si="9"/>
        <v>('1993-09-01',0.06915),</v>
      </c>
    </row>
    <row r="279" spans="1:7" ht="16.2" x14ac:dyDescent="0.35">
      <c r="A279" s="20">
        <v>27915</v>
      </c>
      <c r="B279" s="21">
        <v>8.7799999999999994</v>
      </c>
      <c r="C279" s="238">
        <f t="shared" si="10"/>
        <v>27912</v>
      </c>
      <c r="D279" s="238">
        <v>34243</v>
      </c>
      <c r="E279" t="str">
        <f>TEXT(D279,"YYYY-MM-DD")</f>
        <v>1993-10-01</v>
      </c>
      <c r="F279" s="237">
        <f>AVERAGEIFS(B:B,C:C,D279)/100</f>
        <v>6.8340000000000012E-2</v>
      </c>
      <c r="G279" t="str">
        <f t="shared" si="9"/>
        <v>('1993-10-01',0.06834),</v>
      </c>
    </row>
    <row r="280" spans="1:7" ht="16.2" x14ac:dyDescent="0.35">
      <c r="A280" s="20">
        <v>27922</v>
      </c>
      <c r="B280" s="21">
        <v>8.83</v>
      </c>
      <c r="C280" s="238">
        <f t="shared" si="10"/>
        <v>27912</v>
      </c>
      <c r="D280" s="238">
        <v>34274</v>
      </c>
      <c r="E280" t="str">
        <f>TEXT(D280,"YYYY-MM-DD")</f>
        <v>1993-11-01</v>
      </c>
      <c r="F280" s="237">
        <f>AVERAGEIFS(B:B,C:C,D280)/100</f>
        <v>7.1550000000000002E-2</v>
      </c>
      <c r="G280" t="str">
        <f t="shared" si="9"/>
        <v>('1993-11-01',0.07155),</v>
      </c>
    </row>
    <row r="281" spans="1:7" ht="16.2" x14ac:dyDescent="0.35">
      <c r="A281" s="20">
        <v>27929</v>
      </c>
      <c r="B281" s="21">
        <v>8.8800000000000008</v>
      </c>
      <c r="C281" s="238">
        <f t="shared" si="10"/>
        <v>27912</v>
      </c>
      <c r="D281" s="238">
        <v>34304</v>
      </c>
      <c r="E281" t="str">
        <f>TEXT(D281,"YYYY-MM-DD")</f>
        <v>1993-12-01</v>
      </c>
      <c r="F281" s="237">
        <f>AVERAGEIFS(B:B,C:C,D281)/100</f>
        <v>7.172000000000002E-2</v>
      </c>
      <c r="G281" t="str">
        <f t="shared" si="9"/>
        <v>('1993-12-01',0.07172),</v>
      </c>
    </row>
    <row r="282" spans="1:7" ht="16.2" x14ac:dyDescent="0.35">
      <c r="A282" s="20">
        <v>27936</v>
      </c>
      <c r="B282" s="21">
        <v>8.9</v>
      </c>
      <c r="C282" s="238">
        <f t="shared" si="10"/>
        <v>27912</v>
      </c>
      <c r="D282" s="238">
        <v>34335</v>
      </c>
      <c r="E282" t="str">
        <f>TEXT(D282,"YYYY-MM-DD")</f>
        <v>1994-01-01</v>
      </c>
      <c r="F282" s="237">
        <f>AVERAGEIFS(B:B,C:C,D282)/100</f>
        <v>7.0599999999999996E-2</v>
      </c>
      <c r="G282" t="str">
        <f t="shared" si="9"/>
        <v>('1994-01-01',0.0706),</v>
      </c>
    </row>
    <row r="283" spans="1:7" ht="16.2" x14ac:dyDescent="0.35">
      <c r="A283" s="20">
        <v>27943</v>
      </c>
      <c r="B283" s="21">
        <v>8.93</v>
      </c>
      <c r="C283" s="238">
        <f t="shared" si="10"/>
        <v>27942</v>
      </c>
      <c r="D283" s="238">
        <v>34366</v>
      </c>
      <c r="E283" t="str">
        <f>TEXT(D283,"YYYY-MM-DD")</f>
        <v>1994-02-01</v>
      </c>
      <c r="F283" s="237">
        <f>AVERAGEIFS(B:B,C:C,D283)/100</f>
        <v>7.1525000000000005E-2</v>
      </c>
      <c r="G283" t="str">
        <f t="shared" si="9"/>
        <v>('1994-02-01',0.071525),</v>
      </c>
    </row>
    <row r="284" spans="1:7" ht="16.2" x14ac:dyDescent="0.35">
      <c r="A284" s="20">
        <v>27950</v>
      </c>
      <c r="B284" s="21">
        <v>8.93</v>
      </c>
      <c r="C284" s="238">
        <f t="shared" si="10"/>
        <v>27942</v>
      </c>
      <c r="D284" s="238">
        <v>34394</v>
      </c>
      <c r="E284" t="str">
        <f>TEXT(D284,"YYYY-MM-DD")</f>
        <v>1994-03-01</v>
      </c>
      <c r="F284" s="237">
        <f>AVERAGEIFS(B:B,C:C,D284)/100</f>
        <v>7.6749999999999999E-2</v>
      </c>
      <c r="G284" t="str">
        <f t="shared" si="9"/>
        <v>('1994-03-01',0.07675),</v>
      </c>
    </row>
    <row r="285" spans="1:7" ht="16.2" x14ac:dyDescent="0.35">
      <c r="A285" s="20">
        <v>27957</v>
      </c>
      <c r="B285" s="21">
        <v>8.93</v>
      </c>
      <c r="C285" s="238">
        <f t="shared" si="10"/>
        <v>27942</v>
      </c>
      <c r="D285" s="238">
        <v>34425</v>
      </c>
      <c r="E285" t="str">
        <f>TEXT(D285,"YYYY-MM-DD")</f>
        <v>1994-04-01</v>
      </c>
      <c r="F285" s="237">
        <f>AVERAGEIFS(B:B,C:C,D285)/100</f>
        <v>8.3159999999999984E-2</v>
      </c>
      <c r="G285" t="str">
        <f t="shared" si="9"/>
        <v>('1994-04-01',0.08316),</v>
      </c>
    </row>
    <row r="286" spans="1:7" ht="16.2" x14ac:dyDescent="0.35">
      <c r="A286" s="20">
        <v>27964</v>
      </c>
      <c r="B286" s="21">
        <v>8.9</v>
      </c>
      <c r="C286" s="238">
        <f t="shared" si="10"/>
        <v>27942</v>
      </c>
      <c r="D286" s="238">
        <v>34455</v>
      </c>
      <c r="E286" t="str">
        <f>TEXT(D286,"YYYY-MM-DD")</f>
        <v>1994-05-01</v>
      </c>
      <c r="F286" s="237">
        <f>AVERAGEIFS(B:B,C:C,D286)/100</f>
        <v>8.5974999999999996E-2</v>
      </c>
      <c r="G286" t="str">
        <f t="shared" si="9"/>
        <v>('1994-05-01',0.085975),</v>
      </c>
    </row>
    <row r="287" spans="1:7" ht="16.2" x14ac:dyDescent="0.35">
      <c r="A287" s="20">
        <v>27971</v>
      </c>
      <c r="B287" s="21">
        <v>8.98</v>
      </c>
      <c r="C287" s="238">
        <f t="shared" si="10"/>
        <v>27942</v>
      </c>
      <c r="D287" s="238">
        <v>34486</v>
      </c>
      <c r="E287" t="str">
        <f>TEXT(D287,"YYYY-MM-DD")</f>
        <v>1994-06-01</v>
      </c>
      <c r="F287" s="237">
        <f>AVERAGEIFS(B:B,C:C,D287)/100</f>
        <v>8.3975000000000008E-2</v>
      </c>
      <c r="G287" t="str">
        <f t="shared" si="9"/>
        <v>('1994-06-01',0.083975),</v>
      </c>
    </row>
    <row r="288" spans="1:7" ht="16.2" x14ac:dyDescent="0.35">
      <c r="A288" s="20">
        <v>27978</v>
      </c>
      <c r="B288" s="21">
        <v>9</v>
      </c>
      <c r="C288" s="238">
        <f t="shared" si="10"/>
        <v>27973</v>
      </c>
      <c r="D288" s="238">
        <v>34516</v>
      </c>
      <c r="E288" t="str">
        <f>TEXT(D288,"YYYY-MM-DD")</f>
        <v>1994-07-01</v>
      </c>
      <c r="F288" s="237">
        <f>AVERAGEIFS(B:B,C:C,D288)/100</f>
        <v>8.6140000000000008E-2</v>
      </c>
      <c r="G288" t="str">
        <f t="shared" si="9"/>
        <v>('1994-07-01',0.08614),</v>
      </c>
    </row>
    <row r="289" spans="1:7" ht="16.2" x14ac:dyDescent="0.35">
      <c r="A289" s="20">
        <v>27985</v>
      </c>
      <c r="B289" s="21">
        <v>9</v>
      </c>
      <c r="C289" s="238">
        <f t="shared" si="10"/>
        <v>27973</v>
      </c>
      <c r="D289" s="238">
        <v>34547</v>
      </c>
      <c r="E289" t="str">
        <f>TEXT(D289,"YYYY-MM-DD")</f>
        <v>1994-08-01</v>
      </c>
      <c r="F289" s="237">
        <f>AVERAGEIFS(B:B,C:C,D289)/100</f>
        <v>8.5125000000000006E-2</v>
      </c>
      <c r="G289" t="str">
        <f t="shared" si="9"/>
        <v>('1994-08-01',0.085125),</v>
      </c>
    </row>
    <row r="290" spans="1:7" ht="16.2" x14ac:dyDescent="0.35">
      <c r="A290" s="20">
        <v>27992</v>
      </c>
      <c r="B290" s="21">
        <v>9</v>
      </c>
      <c r="C290" s="238">
        <f t="shared" si="10"/>
        <v>27973</v>
      </c>
      <c r="D290" s="238">
        <v>34578</v>
      </c>
      <c r="E290" t="str">
        <f>TEXT(D290,"YYYY-MM-DD")</f>
        <v>1994-09-01</v>
      </c>
      <c r="F290" s="237">
        <f>AVERAGEIFS(B:B,C:C,D290)/100</f>
        <v>8.6400000000000005E-2</v>
      </c>
      <c r="G290" t="str">
        <f t="shared" si="9"/>
        <v>('1994-09-01',0.0864),</v>
      </c>
    </row>
    <row r="291" spans="1:7" ht="16.2" x14ac:dyDescent="0.35">
      <c r="A291" s="20">
        <v>27999</v>
      </c>
      <c r="B291" s="21">
        <v>9</v>
      </c>
      <c r="C291" s="238">
        <f t="shared" si="10"/>
        <v>27973</v>
      </c>
      <c r="D291" s="238">
        <v>34608</v>
      </c>
      <c r="E291" t="str">
        <f>TEXT(D291,"YYYY-MM-DD")</f>
        <v>1994-10-01</v>
      </c>
      <c r="F291" s="237">
        <f>AVERAGEIFS(B:B,C:C,D291)/100</f>
        <v>8.925000000000001E-2</v>
      </c>
      <c r="G291" t="str">
        <f t="shared" si="9"/>
        <v>('1994-10-01',0.08925),</v>
      </c>
    </row>
    <row r="292" spans="1:7" ht="16.2" x14ac:dyDescent="0.35">
      <c r="A292" s="20">
        <v>28006</v>
      </c>
      <c r="B292" s="21">
        <v>9</v>
      </c>
      <c r="C292" s="238">
        <f t="shared" si="10"/>
        <v>28004</v>
      </c>
      <c r="D292" s="238">
        <v>34639</v>
      </c>
      <c r="E292" t="str">
        <f>TEXT(D292,"YYYY-MM-DD")</f>
        <v>1994-11-01</v>
      </c>
      <c r="F292" s="237">
        <f>AVERAGEIFS(B:B,C:C,D292)/100</f>
        <v>9.1700000000000004E-2</v>
      </c>
      <c r="G292" t="str">
        <f t="shared" si="9"/>
        <v>('1994-11-01',0.0917),</v>
      </c>
    </row>
    <row r="293" spans="1:7" ht="16.2" x14ac:dyDescent="0.35">
      <c r="A293" s="20">
        <v>28013</v>
      </c>
      <c r="B293" s="21">
        <v>8.9700000000000006</v>
      </c>
      <c r="C293" s="238">
        <f t="shared" si="10"/>
        <v>28004</v>
      </c>
      <c r="D293" s="238">
        <v>34669</v>
      </c>
      <c r="E293" t="str">
        <f>TEXT(D293,"YYYY-MM-DD")</f>
        <v>1994-12-01</v>
      </c>
      <c r="F293" s="237">
        <f>AVERAGEIFS(B:B,C:C,D293)/100</f>
        <v>9.1980000000000006E-2</v>
      </c>
      <c r="G293" t="str">
        <f t="shared" si="9"/>
        <v>('1994-12-01',0.09198),</v>
      </c>
    </row>
    <row r="294" spans="1:7" ht="16.2" x14ac:dyDescent="0.35">
      <c r="A294" s="20">
        <v>28020</v>
      </c>
      <c r="B294" s="21">
        <v>8.9700000000000006</v>
      </c>
      <c r="C294" s="238">
        <f t="shared" si="10"/>
        <v>28004</v>
      </c>
      <c r="D294" s="238">
        <v>34700</v>
      </c>
      <c r="E294" t="str">
        <f>TEXT(D294,"YYYY-MM-DD")</f>
        <v>1995-01-01</v>
      </c>
      <c r="F294" s="237">
        <f>AVERAGEIFS(B:B,C:C,D294)/100</f>
        <v>9.1475000000000015E-2</v>
      </c>
      <c r="G294" t="str">
        <f t="shared" si="9"/>
        <v>('1995-01-01',0.091475),</v>
      </c>
    </row>
    <row r="295" spans="1:7" ht="16.2" x14ac:dyDescent="0.35">
      <c r="A295" s="20">
        <v>28027</v>
      </c>
      <c r="B295" s="21">
        <v>8.9700000000000006</v>
      </c>
      <c r="C295" s="238">
        <f t="shared" si="10"/>
        <v>28004</v>
      </c>
      <c r="D295" s="238">
        <v>34731</v>
      </c>
      <c r="E295" t="str">
        <f>TEXT(D295,"YYYY-MM-DD")</f>
        <v>1995-02-01</v>
      </c>
      <c r="F295" s="237">
        <f>AVERAGEIFS(B:B,C:C,D295)/100</f>
        <v>8.8275000000000006E-2</v>
      </c>
      <c r="G295" t="str">
        <f t="shared" si="9"/>
        <v>('1995-02-01',0.088275),</v>
      </c>
    </row>
    <row r="296" spans="1:7" ht="16.2" x14ac:dyDescent="0.35">
      <c r="A296" s="20">
        <v>28034</v>
      </c>
      <c r="B296" s="21">
        <v>8.9</v>
      </c>
      <c r="C296" s="238">
        <f t="shared" si="10"/>
        <v>28034</v>
      </c>
      <c r="D296" s="238">
        <v>34759</v>
      </c>
      <c r="E296" t="str">
        <f>TEXT(D296,"YYYY-MM-DD")</f>
        <v>1995-03-01</v>
      </c>
      <c r="F296" s="237">
        <f>AVERAGEIFS(B:B,C:C,D296)/100</f>
        <v>8.4620000000000001E-2</v>
      </c>
      <c r="G296" t="str">
        <f t="shared" si="9"/>
        <v>('1995-03-01',0.08462),</v>
      </c>
    </row>
    <row r="297" spans="1:7" ht="16.2" x14ac:dyDescent="0.35">
      <c r="A297" s="20">
        <v>28041</v>
      </c>
      <c r="B297" s="21">
        <v>8.9499999999999993</v>
      </c>
      <c r="C297" s="238">
        <f t="shared" si="10"/>
        <v>28034</v>
      </c>
      <c r="D297" s="238">
        <v>34790</v>
      </c>
      <c r="E297" t="str">
        <f>TEXT(D297,"YYYY-MM-DD")</f>
        <v>1995-04-01</v>
      </c>
      <c r="F297" s="237">
        <f>AVERAGEIFS(B:B,C:C,D297)/100</f>
        <v>8.3199999999999996E-2</v>
      </c>
      <c r="G297" t="str">
        <f t="shared" si="9"/>
        <v>('1995-04-01',0.0832),</v>
      </c>
    </row>
    <row r="298" spans="1:7" ht="16.2" x14ac:dyDescent="0.35">
      <c r="A298" s="20">
        <v>28048</v>
      </c>
      <c r="B298" s="21">
        <v>8.9499999999999993</v>
      </c>
      <c r="C298" s="238">
        <f t="shared" si="10"/>
        <v>28034</v>
      </c>
      <c r="D298" s="238">
        <v>34820</v>
      </c>
      <c r="E298" t="str">
        <f>TEXT(D298,"YYYY-MM-DD")</f>
        <v>1995-05-01</v>
      </c>
      <c r="F298" s="237">
        <f>AVERAGEIFS(B:B,C:C,D298)/100</f>
        <v>7.9549999999999996E-2</v>
      </c>
      <c r="G298" t="str">
        <f t="shared" si="9"/>
        <v>('1995-05-01',0.07955),</v>
      </c>
    </row>
    <row r="299" spans="1:7" ht="16.2" x14ac:dyDescent="0.35">
      <c r="A299" s="20">
        <v>28055</v>
      </c>
      <c r="B299" s="21">
        <v>8.9499999999999993</v>
      </c>
      <c r="C299" s="238">
        <f t="shared" si="10"/>
        <v>28034</v>
      </c>
      <c r="D299" s="238">
        <v>34851</v>
      </c>
      <c r="E299" t="str">
        <f>TEXT(D299,"YYYY-MM-DD")</f>
        <v>1995-06-01</v>
      </c>
      <c r="F299" s="237">
        <f>AVERAGEIFS(B:B,C:C,D299)/100</f>
        <v>7.5660000000000005E-2</v>
      </c>
      <c r="G299" t="str">
        <f t="shared" si="9"/>
        <v>('1995-06-01',0.07566),</v>
      </c>
    </row>
    <row r="300" spans="1:7" ht="16.2" x14ac:dyDescent="0.35">
      <c r="A300" s="20">
        <v>28062</v>
      </c>
      <c r="B300" s="21">
        <v>8.9</v>
      </c>
      <c r="C300" s="238">
        <f t="shared" si="10"/>
        <v>28034</v>
      </c>
      <c r="D300" s="238">
        <v>34881</v>
      </c>
      <c r="E300" t="str">
        <f>TEXT(D300,"YYYY-MM-DD")</f>
        <v>1995-07-01</v>
      </c>
      <c r="F300" s="237">
        <f>AVERAGEIFS(B:B,C:C,D300)/100</f>
        <v>7.6075000000000004E-2</v>
      </c>
      <c r="G300" t="str">
        <f t="shared" si="9"/>
        <v>('1995-07-01',0.076075),</v>
      </c>
    </row>
    <row r="301" spans="1:7" ht="16.2" x14ac:dyDescent="0.35">
      <c r="A301" s="20">
        <v>28069</v>
      </c>
      <c r="B301" s="21">
        <v>8.85</v>
      </c>
      <c r="C301" s="238">
        <f t="shared" si="10"/>
        <v>28065</v>
      </c>
      <c r="D301" s="238">
        <v>34912</v>
      </c>
      <c r="E301" t="str">
        <f>TEXT(D301,"YYYY-MM-DD")</f>
        <v>1995-08-01</v>
      </c>
      <c r="F301" s="237">
        <f>AVERAGEIFS(B:B,C:C,D301)/100</f>
        <v>7.8600000000000003E-2</v>
      </c>
      <c r="G301" t="str">
        <f t="shared" si="9"/>
        <v>('1995-08-01',0.0786),</v>
      </c>
    </row>
    <row r="302" spans="1:7" ht="16.2" x14ac:dyDescent="0.35">
      <c r="A302" s="20">
        <v>28076</v>
      </c>
      <c r="B302" s="21">
        <v>8.8000000000000007</v>
      </c>
      <c r="C302" s="238">
        <f t="shared" si="10"/>
        <v>28065</v>
      </c>
      <c r="D302" s="238">
        <v>34943</v>
      </c>
      <c r="E302" t="str">
        <f>TEXT(D302,"YYYY-MM-DD")</f>
        <v>1995-09-01</v>
      </c>
      <c r="F302" s="237">
        <f>AVERAGEIFS(B:B,C:C,D302)/100</f>
        <v>7.6359999999999997E-2</v>
      </c>
      <c r="G302" t="str">
        <f t="shared" si="9"/>
        <v>('1995-09-01',0.07636),</v>
      </c>
    </row>
    <row r="303" spans="1:7" ht="16.2" x14ac:dyDescent="0.35">
      <c r="A303" s="20">
        <v>28083</v>
      </c>
      <c r="B303" s="21">
        <v>8.8000000000000007</v>
      </c>
      <c r="C303" s="238">
        <f t="shared" si="10"/>
        <v>28065</v>
      </c>
      <c r="D303" s="238">
        <v>34973</v>
      </c>
      <c r="E303" t="str">
        <f>TEXT(D303,"YYYY-MM-DD")</f>
        <v>1995-10-01</v>
      </c>
      <c r="F303" s="237">
        <f>AVERAGEIFS(B:B,C:C,D303)/100</f>
        <v>7.4749999999999997E-2</v>
      </c>
      <c r="G303" t="str">
        <f t="shared" si="9"/>
        <v>('1995-10-01',0.07475),</v>
      </c>
    </row>
    <row r="304" spans="1:7" ht="16.2" x14ac:dyDescent="0.35">
      <c r="A304" s="20">
        <v>28090</v>
      </c>
      <c r="B304" s="21">
        <v>8.8000000000000007</v>
      </c>
      <c r="C304" s="238">
        <f t="shared" si="10"/>
        <v>28065</v>
      </c>
      <c r="D304" s="238">
        <v>35004</v>
      </c>
      <c r="E304" t="str">
        <f>TEXT(D304,"YYYY-MM-DD")</f>
        <v>1995-11-01</v>
      </c>
      <c r="F304" s="237">
        <f>AVERAGEIFS(B:B,C:C,D304)/100</f>
        <v>7.3774999999999993E-2</v>
      </c>
      <c r="G304" t="str">
        <f t="shared" si="9"/>
        <v>('1995-11-01',0.073775),</v>
      </c>
    </row>
    <row r="305" spans="1:7" ht="16.2" x14ac:dyDescent="0.35">
      <c r="A305" s="20">
        <v>28097</v>
      </c>
      <c r="B305" s="21">
        <v>8.8000000000000007</v>
      </c>
      <c r="C305" s="238">
        <f t="shared" si="10"/>
        <v>28095</v>
      </c>
      <c r="D305" s="238">
        <v>35034</v>
      </c>
      <c r="E305" t="str">
        <f>TEXT(D305,"YYYY-MM-DD")</f>
        <v>1995-12-01</v>
      </c>
      <c r="F305" s="237">
        <f>AVERAGEIFS(B:B,C:C,D305)/100</f>
        <v>7.2000000000000008E-2</v>
      </c>
      <c r="G305" t="str">
        <f t="shared" si="9"/>
        <v>('1995-12-01',0.072),</v>
      </c>
    </row>
    <row r="306" spans="1:7" ht="16.2" x14ac:dyDescent="0.35">
      <c r="A306" s="20">
        <v>28104</v>
      </c>
      <c r="B306" s="21">
        <v>8.8000000000000007</v>
      </c>
      <c r="C306" s="238">
        <f t="shared" si="10"/>
        <v>28095</v>
      </c>
      <c r="D306" s="238">
        <v>35065</v>
      </c>
      <c r="E306" t="str">
        <f>TEXT(D306,"YYYY-MM-DD")</f>
        <v>1996-01-01</v>
      </c>
      <c r="F306" s="237">
        <f>AVERAGEIFS(B:B,C:C,D306)/100</f>
        <v>7.0299999999999987E-2</v>
      </c>
      <c r="G306" t="str">
        <f t="shared" si="9"/>
        <v>('1996-01-01',0.0703),</v>
      </c>
    </row>
    <row r="307" spans="1:7" ht="16.2" x14ac:dyDescent="0.35">
      <c r="A307" s="20">
        <v>28111</v>
      </c>
      <c r="B307" s="21">
        <v>8.8000000000000007</v>
      </c>
      <c r="C307" s="238">
        <f t="shared" si="10"/>
        <v>28095</v>
      </c>
      <c r="D307" s="238">
        <v>35096</v>
      </c>
      <c r="E307" t="str">
        <f>TEXT(D307,"YYYY-MM-DD")</f>
        <v>1996-02-01</v>
      </c>
      <c r="F307" s="237">
        <f>AVERAGEIFS(B:B,C:C,D307)/100</f>
        <v>7.0750000000000007E-2</v>
      </c>
      <c r="G307" t="str">
        <f t="shared" si="9"/>
        <v>('1996-02-01',0.07075),</v>
      </c>
    </row>
    <row r="308" spans="1:7" ht="16.2" x14ac:dyDescent="0.35">
      <c r="A308" s="20">
        <v>28118</v>
      </c>
      <c r="B308" s="21">
        <v>8.7799999999999994</v>
      </c>
      <c r="C308" s="238">
        <f t="shared" si="10"/>
        <v>28095</v>
      </c>
      <c r="D308" s="238">
        <v>35125</v>
      </c>
      <c r="E308" t="str">
        <f>TEXT(D308,"YYYY-MM-DD")</f>
        <v>1996-03-01</v>
      </c>
      <c r="F308" s="237">
        <f>AVERAGEIFS(B:B,C:C,D308)/100</f>
        <v>7.6240000000000002E-2</v>
      </c>
      <c r="G308" t="str">
        <f t="shared" si="9"/>
        <v>('1996-03-01',0.07624),</v>
      </c>
    </row>
    <row r="309" spans="1:7" ht="16.2" x14ac:dyDescent="0.35">
      <c r="A309" s="20">
        <v>28125</v>
      </c>
      <c r="B309" s="21">
        <v>8.7799999999999994</v>
      </c>
      <c r="C309" s="238">
        <f t="shared" si="10"/>
        <v>28095</v>
      </c>
      <c r="D309" s="238">
        <v>35156</v>
      </c>
      <c r="E309" t="str">
        <f>TEXT(D309,"YYYY-MM-DD")</f>
        <v>1996-04-01</v>
      </c>
      <c r="F309" s="237">
        <f>AVERAGEIFS(B:B,C:C,D309)/100</f>
        <v>7.9250000000000001E-2</v>
      </c>
      <c r="G309" t="str">
        <f t="shared" si="9"/>
        <v>('1996-04-01',0.07925),</v>
      </c>
    </row>
    <row r="310" spans="1:7" ht="16.2" x14ac:dyDescent="0.35">
      <c r="A310" s="20">
        <v>28132</v>
      </c>
      <c r="B310" s="21">
        <v>8.6999999999999993</v>
      </c>
      <c r="C310" s="238">
        <f t="shared" si="10"/>
        <v>28126</v>
      </c>
      <c r="D310" s="238">
        <v>35186</v>
      </c>
      <c r="E310" t="str">
        <f>TEXT(D310,"YYYY-MM-DD")</f>
        <v>1996-05-01</v>
      </c>
      <c r="F310" s="237">
        <f>AVERAGEIFS(B:B,C:C,D310)/100</f>
        <v>8.0700000000000008E-2</v>
      </c>
      <c r="G310" t="str">
        <f t="shared" si="9"/>
        <v>('1996-05-01',0.0807),</v>
      </c>
    </row>
    <row r="311" spans="1:7" ht="16.2" x14ac:dyDescent="0.35">
      <c r="A311" s="20">
        <v>28139</v>
      </c>
      <c r="B311" s="21">
        <v>8.73</v>
      </c>
      <c r="C311" s="238">
        <f t="shared" si="10"/>
        <v>28126</v>
      </c>
      <c r="D311" s="238">
        <v>35217</v>
      </c>
      <c r="E311" t="str">
        <f>TEXT(D311,"YYYY-MM-DD")</f>
        <v>1996-06-01</v>
      </c>
      <c r="F311" s="237">
        <f>AVERAGEIFS(B:B,C:C,D311)/100</f>
        <v>8.3199999999999996E-2</v>
      </c>
      <c r="G311" t="str">
        <f t="shared" si="9"/>
        <v>('1996-06-01',0.0832),</v>
      </c>
    </row>
    <row r="312" spans="1:7" ht="16.2" x14ac:dyDescent="0.35">
      <c r="A312" s="20">
        <v>28146</v>
      </c>
      <c r="B312" s="21">
        <v>8.73</v>
      </c>
      <c r="C312" s="238">
        <f t="shared" si="10"/>
        <v>28126</v>
      </c>
      <c r="D312" s="238">
        <v>35247</v>
      </c>
      <c r="E312" t="str">
        <f>TEXT(D312,"YYYY-MM-DD")</f>
        <v>1996-07-01</v>
      </c>
      <c r="F312" s="237">
        <f>AVERAGEIFS(B:B,C:C,D312)/100</f>
        <v>8.2450000000000009E-2</v>
      </c>
      <c r="G312" t="str">
        <f t="shared" si="9"/>
        <v>('1996-07-01',0.08245),</v>
      </c>
    </row>
    <row r="313" spans="1:7" ht="16.2" x14ac:dyDescent="0.35">
      <c r="A313" s="20">
        <v>28153</v>
      </c>
      <c r="B313" s="21">
        <v>8.73</v>
      </c>
      <c r="C313" s="238">
        <f t="shared" si="10"/>
        <v>28126</v>
      </c>
      <c r="D313" s="238">
        <v>35278</v>
      </c>
      <c r="E313" t="str">
        <f>TEXT(D313,"YYYY-MM-DD")</f>
        <v>1996-08-01</v>
      </c>
      <c r="F313" s="237">
        <f>AVERAGEIFS(B:B,C:C,D313)/100</f>
        <v>8.0019999999999994E-2</v>
      </c>
      <c r="G313" t="str">
        <f t="shared" si="9"/>
        <v>('1996-08-01',0.08002),</v>
      </c>
    </row>
    <row r="314" spans="1:7" ht="16.2" x14ac:dyDescent="0.35">
      <c r="A314" s="20">
        <v>28160</v>
      </c>
      <c r="B314" s="21">
        <v>8.68</v>
      </c>
      <c r="C314" s="238">
        <f t="shared" si="10"/>
        <v>28157</v>
      </c>
      <c r="D314" s="238">
        <v>35309</v>
      </c>
      <c r="E314" t="str">
        <f>TEXT(D314,"YYYY-MM-DD")</f>
        <v>1996-09-01</v>
      </c>
      <c r="F314" s="237">
        <f>AVERAGEIFS(B:B,C:C,D314)/100</f>
        <v>8.2299999999999998E-2</v>
      </c>
      <c r="G314" t="str">
        <f t="shared" si="9"/>
        <v>('1996-09-01',0.0823),</v>
      </c>
    </row>
    <row r="315" spans="1:7" ht="16.2" x14ac:dyDescent="0.35">
      <c r="A315" s="20">
        <v>28167</v>
      </c>
      <c r="B315" s="21">
        <v>8.6999999999999993</v>
      </c>
      <c r="C315" s="238">
        <f t="shared" si="10"/>
        <v>28157</v>
      </c>
      <c r="D315" s="238">
        <v>35339</v>
      </c>
      <c r="E315" t="str">
        <f>TEXT(D315,"YYYY-MM-DD")</f>
        <v>1996-10-01</v>
      </c>
      <c r="F315" s="237">
        <f>AVERAGEIFS(B:B,C:C,D315)/100</f>
        <v>7.9149999999999998E-2</v>
      </c>
      <c r="G315" t="str">
        <f t="shared" si="9"/>
        <v>('1996-10-01',0.07915),</v>
      </c>
    </row>
    <row r="316" spans="1:7" ht="16.2" x14ac:dyDescent="0.35">
      <c r="A316" s="20">
        <v>28174</v>
      </c>
      <c r="B316" s="21">
        <v>8.65</v>
      </c>
      <c r="C316" s="238">
        <f t="shared" si="10"/>
        <v>28157</v>
      </c>
      <c r="D316" s="238">
        <v>35370</v>
      </c>
      <c r="E316" t="str">
        <f>TEXT(D316,"YYYY-MM-DD")</f>
        <v>1996-11-01</v>
      </c>
      <c r="F316" s="237">
        <f>AVERAGEIFS(B:B,C:C,D316)/100</f>
        <v>7.6179999999999998E-2</v>
      </c>
      <c r="G316" t="str">
        <f t="shared" si="9"/>
        <v>('1996-11-01',0.07618),</v>
      </c>
    </row>
    <row r="317" spans="1:7" ht="16.2" x14ac:dyDescent="0.35">
      <c r="A317" s="20">
        <v>28181</v>
      </c>
      <c r="B317" s="21">
        <v>8.65</v>
      </c>
      <c r="C317" s="238">
        <f t="shared" si="10"/>
        <v>28157</v>
      </c>
      <c r="D317" s="238">
        <v>35400</v>
      </c>
      <c r="E317" t="str">
        <f>TEXT(D317,"YYYY-MM-DD")</f>
        <v>1996-12-01</v>
      </c>
      <c r="F317" s="237">
        <f>AVERAGEIFS(B:B,C:C,D317)/100</f>
        <v>7.5975000000000001E-2</v>
      </c>
      <c r="G317" t="str">
        <f t="shared" si="9"/>
        <v>('1996-12-01',0.075975),</v>
      </c>
    </row>
    <row r="318" spans="1:7" ht="16.2" x14ac:dyDescent="0.35">
      <c r="A318" s="20">
        <v>28188</v>
      </c>
      <c r="B318" s="21">
        <v>8.65</v>
      </c>
      <c r="C318" s="238">
        <f t="shared" si="10"/>
        <v>28185</v>
      </c>
      <c r="D318" s="238">
        <v>35431</v>
      </c>
      <c r="E318" t="str">
        <f>TEXT(D318,"YYYY-MM-DD")</f>
        <v>1997-01-01</v>
      </c>
      <c r="F318" s="237">
        <f>AVERAGEIFS(B:B,C:C,D318)/100</f>
        <v>7.8240000000000004E-2</v>
      </c>
      <c r="G318" t="str">
        <f t="shared" si="9"/>
        <v>('1997-01-01',0.07824),</v>
      </c>
    </row>
    <row r="319" spans="1:7" ht="16.2" x14ac:dyDescent="0.35">
      <c r="A319" s="20">
        <v>28195</v>
      </c>
      <c r="B319" s="21">
        <v>8.6999999999999993</v>
      </c>
      <c r="C319" s="238">
        <f t="shared" si="10"/>
        <v>28185</v>
      </c>
      <c r="D319" s="238">
        <v>35462</v>
      </c>
      <c r="E319" t="str">
        <f>TEXT(D319,"YYYY-MM-DD")</f>
        <v>1997-02-01</v>
      </c>
      <c r="F319" s="237">
        <f>AVERAGEIFS(B:B,C:C,D319)/100</f>
        <v>7.6499999999999999E-2</v>
      </c>
      <c r="G319" t="str">
        <f t="shared" si="9"/>
        <v>('1997-02-01',0.0765),</v>
      </c>
    </row>
    <row r="320" spans="1:7" ht="16.2" x14ac:dyDescent="0.35">
      <c r="A320" s="20">
        <v>28202</v>
      </c>
      <c r="B320" s="21">
        <v>8.6999999999999993</v>
      </c>
      <c r="C320" s="238">
        <f t="shared" si="10"/>
        <v>28185</v>
      </c>
      <c r="D320" s="238">
        <v>35490</v>
      </c>
      <c r="E320" t="str">
        <f>TEXT(D320,"YYYY-MM-DD")</f>
        <v>1997-03-01</v>
      </c>
      <c r="F320" s="237">
        <f>AVERAGEIFS(B:B,C:C,D320)/100</f>
        <v>7.8975000000000004E-2</v>
      </c>
      <c r="G320" t="str">
        <f t="shared" si="9"/>
        <v>('1997-03-01',0.078975),</v>
      </c>
    </row>
    <row r="321" spans="1:7" ht="16.2" x14ac:dyDescent="0.35">
      <c r="A321" s="20">
        <v>28209</v>
      </c>
      <c r="B321" s="21">
        <v>8.6999999999999993</v>
      </c>
      <c r="C321" s="238">
        <f t="shared" si="10"/>
        <v>28185</v>
      </c>
      <c r="D321" s="238">
        <v>35521</v>
      </c>
      <c r="E321" t="str">
        <f>TEXT(D321,"YYYY-MM-DD")</f>
        <v>1997-04-01</v>
      </c>
      <c r="F321" s="237">
        <f>AVERAGEIFS(B:B,C:C,D321)/100</f>
        <v>8.1424999999999997E-2</v>
      </c>
      <c r="G321" t="str">
        <f t="shared" si="9"/>
        <v>('1997-04-01',0.081425),</v>
      </c>
    </row>
    <row r="322" spans="1:7" ht="16.2" x14ac:dyDescent="0.35">
      <c r="A322" s="20">
        <v>28216</v>
      </c>
      <c r="B322" s="21">
        <v>8.6999999999999993</v>
      </c>
      <c r="C322" s="238">
        <f t="shared" si="10"/>
        <v>28216</v>
      </c>
      <c r="D322" s="238">
        <v>35551</v>
      </c>
      <c r="E322" t="str">
        <f>TEXT(D322,"YYYY-MM-DD")</f>
        <v>1997-05-01</v>
      </c>
      <c r="F322" s="237">
        <f>AVERAGEIFS(B:B,C:C,D322)/100</f>
        <v>7.9439999999999997E-2</v>
      </c>
      <c r="G322" t="str">
        <f t="shared" si="9"/>
        <v>('1997-05-01',0.07944),</v>
      </c>
    </row>
    <row r="323" spans="1:7" ht="16.2" x14ac:dyDescent="0.35">
      <c r="A323" s="20">
        <v>28223</v>
      </c>
      <c r="B323" s="21">
        <v>8.75</v>
      </c>
      <c r="C323" s="238">
        <f t="shared" si="10"/>
        <v>28216</v>
      </c>
      <c r="D323" s="238">
        <v>35582</v>
      </c>
      <c r="E323" t="str">
        <f>TEXT(D323,"YYYY-MM-DD")</f>
        <v>1997-06-01</v>
      </c>
      <c r="F323" s="237">
        <f>AVERAGEIFS(B:B,C:C,D323)/100</f>
        <v>7.6899999999999996E-2</v>
      </c>
      <c r="G323" t="str">
        <f t="shared" si="9"/>
        <v>('1997-06-01',0.0769),</v>
      </c>
    </row>
    <row r="324" spans="1:7" ht="16.2" x14ac:dyDescent="0.35">
      <c r="A324" s="20">
        <v>28230</v>
      </c>
      <c r="B324" s="21">
        <v>8.75</v>
      </c>
      <c r="C324" s="238">
        <f t="shared" si="10"/>
        <v>28216</v>
      </c>
      <c r="D324" s="238">
        <v>35612</v>
      </c>
      <c r="E324" t="str">
        <f>TEXT(D324,"YYYY-MM-DD")</f>
        <v>1997-07-01</v>
      </c>
      <c r="F324" s="237">
        <f>AVERAGEIFS(B:B,C:C,D324)/100</f>
        <v>7.4975E-2</v>
      </c>
      <c r="G324" t="str">
        <f t="shared" si="9"/>
        <v>('1997-07-01',0.074975),</v>
      </c>
    </row>
    <row r="325" spans="1:7" ht="16.2" x14ac:dyDescent="0.35">
      <c r="A325" s="20">
        <v>28237</v>
      </c>
      <c r="B325" s="21">
        <v>8.7799999999999994</v>
      </c>
      <c r="C325" s="238">
        <f t="shared" si="10"/>
        <v>28216</v>
      </c>
      <c r="D325" s="238">
        <v>35643</v>
      </c>
      <c r="E325" t="str">
        <f>TEXT(D325,"YYYY-MM-DD")</f>
        <v>1997-08-01</v>
      </c>
      <c r="F325" s="237">
        <f>AVERAGEIFS(B:B,C:C,D325)/100</f>
        <v>7.4799999999999991E-2</v>
      </c>
      <c r="G325" t="str">
        <f t="shared" si="9"/>
        <v>('1997-08-01',0.0748),</v>
      </c>
    </row>
    <row r="326" spans="1:7" ht="16.2" x14ac:dyDescent="0.35">
      <c r="A326" s="20">
        <v>28244</v>
      </c>
      <c r="B326" s="21">
        <v>8.7799999999999994</v>
      </c>
      <c r="C326" s="238">
        <f t="shared" si="10"/>
        <v>28216</v>
      </c>
      <c r="D326" s="238">
        <v>35674</v>
      </c>
      <c r="E326" t="str">
        <f>TEXT(D326,"YYYY-MM-DD")</f>
        <v>1997-09-01</v>
      </c>
      <c r="F326" s="237">
        <f>AVERAGEIFS(B:B,C:C,D326)/100</f>
        <v>7.4300000000000005E-2</v>
      </c>
      <c r="G326" t="str">
        <f t="shared" si="9"/>
        <v>('1997-09-01',0.0743),</v>
      </c>
    </row>
    <row r="327" spans="1:7" ht="16.2" x14ac:dyDescent="0.35">
      <c r="A327" s="20">
        <v>28251</v>
      </c>
      <c r="B327" s="21">
        <v>8.7799999999999994</v>
      </c>
      <c r="C327" s="238">
        <f t="shared" si="10"/>
        <v>28246</v>
      </c>
      <c r="D327" s="238">
        <v>35704</v>
      </c>
      <c r="E327" t="str">
        <f>TEXT(D327,"YYYY-MM-DD")</f>
        <v>1997-10-01</v>
      </c>
      <c r="F327" s="237">
        <f>AVERAGEIFS(B:B,C:C,D327)/100</f>
        <v>7.2939999999999991E-2</v>
      </c>
      <c r="G327" t="str">
        <f t="shared" si="9"/>
        <v>('1997-10-01',0.07294),</v>
      </c>
    </row>
    <row r="328" spans="1:7" ht="16.2" x14ac:dyDescent="0.35">
      <c r="A328" s="20">
        <v>28258</v>
      </c>
      <c r="B328" s="21">
        <v>8.83</v>
      </c>
      <c r="C328" s="238">
        <f t="shared" si="10"/>
        <v>28246</v>
      </c>
      <c r="D328" s="238">
        <v>35735</v>
      </c>
      <c r="E328" t="str">
        <f>TEXT(D328,"YYYY-MM-DD")</f>
        <v>1997-11-01</v>
      </c>
      <c r="F328" s="237">
        <f>AVERAGEIFS(B:B,C:C,D328)/100</f>
        <v>7.2050000000000003E-2</v>
      </c>
      <c r="G328" t="str">
        <f t="shared" si="9"/>
        <v>('1997-11-01',0.07205),</v>
      </c>
    </row>
    <row r="329" spans="1:7" ht="16.2" x14ac:dyDescent="0.35">
      <c r="A329" s="20">
        <v>28265</v>
      </c>
      <c r="B329" s="21">
        <v>8.85</v>
      </c>
      <c r="C329" s="238">
        <f t="shared" si="10"/>
        <v>28246</v>
      </c>
      <c r="D329" s="238">
        <v>35765</v>
      </c>
      <c r="E329" t="str">
        <f>TEXT(D329,"YYYY-MM-DD")</f>
        <v>1997-12-01</v>
      </c>
      <c r="F329" s="237">
        <f>AVERAGEIFS(B:B,C:C,D329)/100</f>
        <v>7.0950000000000013E-2</v>
      </c>
      <c r="G329" t="str">
        <f t="shared" si="9"/>
        <v>('1997-12-01',0.07095),</v>
      </c>
    </row>
    <row r="330" spans="1:7" ht="16.2" x14ac:dyDescent="0.35">
      <c r="A330" s="20">
        <v>28272</v>
      </c>
      <c r="B330" s="21">
        <v>8.85</v>
      </c>
      <c r="C330" s="238">
        <f t="shared" si="10"/>
        <v>28246</v>
      </c>
      <c r="D330" s="238">
        <v>35796</v>
      </c>
      <c r="E330" t="str">
        <f>TEXT(D330,"YYYY-MM-DD")</f>
        <v>1998-01-01</v>
      </c>
      <c r="F330" s="237">
        <f>AVERAGEIFS(B:B,C:C,D330)/100</f>
        <v>6.9940000000000002E-2</v>
      </c>
      <c r="G330" t="str">
        <f t="shared" si="9"/>
        <v>('1998-01-01',0.06994),</v>
      </c>
    </row>
    <row r="331" spans="1:7" ht="16.2" x14ac:dyDescent="0.35">
      <c r="A331" s="20">
        <v>28279</v>
      </c>
      <c r="B331" s="21">
        <v>8.85</v>
      </c>
      <c r="C331" s="238">
        <f t="shared" si="10"/>
        <v>28277</v>
      </c>
      <c r="D331" s="238">
        <v>35827</v>
      </c>
      <c r="E331" t="str">
        <f>TEXT(D331,"YYYY-MM-DD")</f>
        <v>1998-02-01</v>
      </c>
      <c r="F331" s="237">
        <f>AVERAGEIFS(B:B,C:C,D331)/100</f>
        <v>7.0425000000000001E-2</v>
      </c>
      <c r="G331" t="str">
        <f t="shared" ref="G331:G394" si="11">"('"&amp;E331&amp;"',"&amp;F331&amp;")"&amp;IF(LEN(E332)+LEN(F332)&gt;0,",",";")</f>
        <v>('1998-02-01',0.070425),</v>
      </c>
    </row>
    <row r="332" spans="1:7" ht="16.2" x14ac:dyDescent="0.35">
      <c r="A332" s="20">
        <v>28286</v>
      </c>
      <c r="B332" s="21">
        <v>8.85</v>
      </c>
      <c r="C332" s="238">
        <f t="shared" si="10"/>
        <v>28277</v>
      </c>
      <c r="D332" s="238">
        <v>35855</v>
      </c>
      <c r="E332" t="str">
        <f>TEXT(D332,"YYYY-MM-DD")</f>
        <v>1998-03-01</v>
      </c>
      <c r="F332" s="237">
        <f>AVERAGEIFS(B:B,C:C,D332)/100</f>
        <v>7.1274999999999991E-2</v>
      </c>
      <c r="G332" t="str">
        <f t="shared" si="11"/>
        <v>('1998-03-01',0.071275),</v>
      </c>
    </row>
    <row r="333" spans="1:7" ht="16.2" x14ac:dyDescent="0.35">
      <c r="A333" s="20">
        <v>28293</v>
      </c>
      <c r="B333" s="21">
        <v>8.85</v>
      </c>
      <c r="C333" s="238">
        <f t="shared" si="10"/>
        <v>28277</v>
      </c>
      <c r="D333" s="238">
        <v>35886</v>
      </c>
      <c r="E333" t="str">
        <f>TEXT(D333,"YYYY-MM-DD")</f>
        <v>1998-04-01</v>
      </c>
      <c r="F333" s="237">
        <f>AVERAGEIFS(B:B,C:C,D333)/100</f>
        <v>7.1400000000000005E-2</v>
      </c>
      <c r="G333" t="str">
        <f t="shared" si="11"/>
        <v>('1998-04-01',0.0714),</v>
      </c>
    </row>
    <row r="334" spans="1:7" ht="16.2" x14ac:dyDescent="0.35">
      <c r="A334" s="20">
        <v>28300</v>
      </c>
      <c r="B334" s="21">
        <v>8.8800000000000008</v>
      </c>
      <c r="C334" s="238">
        <f t="shared" si="10"/>
        <v>28277</v>
      </c>
      <c r="D334" s="238">
        <v>35916</v>
      </c>
      <c r="E334" t="str">
        <f>TEXT(D334,"YYYY-MM-DD")</f>
        <v>1998-05-01</v>
      </c>
      <c r="F334" s="237">
        <f>AVERAGEIFS(B:B,C:C,D334)/100</f>
        <v>7.1440000000000003E-2</v>
      </c>
      <c r="G334" t="str">
        <f t="shared" si="11"/>
        <v>('1998-05-01',0.07144),</v>
      </c>
    </row>
    <row r="335" spans="1:7" ht="16.2" x14ac:dyDescent="0.35">
      <c r="A335" s="20">
        <v>28307</v>
      </c>
      <c r="B335" s="21">
        <v>8.9499999999999993</v>
      </c>
      <c r="C335" s="238">
        <f t="shared" si="10"/>
        <v>28307</v>
      </c>
      <c r="D335" s="238">
        <v>35947</v>
      </c>
      <c r="E335" t="str">
        <f>TEXT(D335,"YYYY-MM-DD")</f>
        <v>1998-06-01</v>
      </c>
      <c r="F335" s="237">
        <f>AVERAGEIFS(B:B,C:C,D335)/100</f>
        <v>6.9975000000000009E-2</v>
      </c>
      <c r="G335" t="str">
        <f t="shared" si="11"/>
        <v>('1998-06-01',0.069975),</v>
      </c>
    </row>
    <row r="336" spans="1:7" ht="16.2" x14ac:dyDescent="0.35">
      <c r="A336" s="20">
        <v>28314</v>
      </c>
      <c r="B336" s="21">
        <v>8.93</v>
      </c>
      <c r="C336" s="238">
        <f t="shared" ref="C336:C399" si="12">EOMONTH(A336,-1)+1</f>
        <v>28307</v>
      </c>
      <c r="D336" s="238">
        <v>35977</v>
      </c>
      <c r="E336" t="str">
        <f>TEXT(D336,"YYYY-MM-DD")</f>
        <v>1998-07-01</v>
      </c>
      <c r="F336" s="237">
        <f>AVERAGEIFS(B:B,C:C,D336)/100</f>
        <v>6.9520000000000012E-2</v>
      </c>
      <c r="G336" t="str">
        <f t="shared" si="11"/>
        <v>('1998-07-01',0.06952),</v>
      </c>
    </row>
    <row r="337" spans="1:7" ht="16.2" x14ac:dyDescent="0.35">
      <c r="A337" s="20">
        <v>28321</v>
      </c>
      <c r="B337" s="21">
        <v>8.9499999999999993</v>
      </c>
      <c r="C337" s="238">
        <f t="shared" si="12"/>
        <v>28307</v>
      </c>
      <c r="D337" s="238">
        <v>36008</v>
      </c>
      <c r="E337" t="str">
        <f>TEXT(D337,"YYYY-MM-DD")</f>
        <v>1998-08-01</v>
      </c>
      <c r="F337" s="237">
        <f>AVERAGEIFS(B:B,C:C,D337)/100</f>
        <v>6.9225000000000009E-2</v>
      </c>
      <c r="G337" t="str">
        <f t="shared" si="11"/>
        <v>('1998-08-01',0.069225),</v>
      </c>
    </row>
    <row r="338" spans="1:7" ht="16.2" x14ac:dyDescent="0.35">
      <c r="A338" s="20">
        <v>28328</v>
      </c>
      <c r="B338" s="21">
        <v>8.9499999999999993</v>
      </c>
      <c r="C338" s="238">
        <f t="shared" si="12"/>
        <v>28307</v>
      </c>
      <c r="D338" s="238">
        <v>36039</v>
      </c>
      <c r="E338" t="str">
        <f>TEXT(D338,"YYYY-MM-DD")</f>
        <v>1998-09-01</v>
      </c>
      <c r="F338" s="237">
        <f>AVERAGEIFS(B:B,C:C,D338)/100</f>
        <v>6.7225000000000007E-2</v>
      </c>
      <c r="G338" t="str">
        <f t="shared" si="11"/>
        <v>('1998-09-01',0.067225),</v>
      </c>
    </row>
    <row r="339" spans="1:7" ht="16.2" x14ac:dyDescent="0.35">
      <c r="A339" s="20">
        <v>28335</v>
      </c>
      <c r="B339" s="21">
        <v>8.93</v>
      </c>
      <c r="C339" s="238">
        <f t="shared" si="12"/>
        <v>28307</v>
      </c>
      <c r="D339" s="238">
        <v>36069</v>
      </c>
      <c r="E339" t="str">
        <f>TEXT(D339,"YYYY-MM-DD")</f>
        <v>1998-10-01</v>
      </c>
      <c r="F339" s="237">
        <f>AVERAGEIFS(B:B,C:C,D339)/100</f>
        <v>6.7100000000000007E-2</v>
      </c>
      <c r="G339" t="str">
        <f t="shared" si="11"/>
        <v>('1998-10-01',0.0671),</v>
      </c>
    </row>
    <row r="340" spans="1:7" ht="16.2" x14ac:dyDescent="0.35">
      <c r="A340" s="20">
        <v>28342</v>
      </c>
      <c r="B340" s="21">
        <v>8.9499999999999993</v>
      </c>
      <c r="C340" s="238">
        <f t="shared" si="12"/>
        <v>28338</v>
      </c>
      <c r="D340" s="238">
        <v>36100</v>
      </c>
      <c r="E340" t="str">
        <f>TEXT(D340,"YYYY-MM-DD")</f>
        <v>1998-11-01</v>
      </c>
      <c r="F340" s="237">
        <f>AVERAGEIFS(B:B,C:C,D340)/100</f>
        <v>6.8650000000000003E-2</v>
      </c>
      <c r="G340" t="str">
        <f t="shared" si="11"/>
        <v>('1998-11-01',0.06865),</v>
      </c>
    </row>
    <row r="341" spans="1:7" ht="16.2" x14ac:dyDescent="0.35">
      <c r="A341" s="20">
        <v>28349</v>
      </c>
      <c r="B341" s="21">
        <v>8.9499999999999993</v>
      </c>
      <c r="C341" s="238">
        <f t="shared" si="12"/>
        <v>28338</v>
      </c>
      <c r="D341" s="238">
        <v>36130</v>
      </c>
      <c r="E341" t="str">
        <f>TEXT(D341,"YYYY-MM-DD")</f>
        <v>1998-12-01</v>
      </c>
      <c r="F341" s="237">
        <f>AVERAGEIFS(B:B,C:C,D341)/100</f>
        <v>6.7379999999999995E-2</v>
      </c>
      <c r="G341" t="str">
        <f t="shared" si="11"/>
        <v>('1998-12-01',0.06738),</v>
      </c>
    </row>
    <row r="342" spans="1:7" ht="16.2" x14ac:dyDescent="0.35">
      <c r="A342" s="20">
        <v>28356</v>
      </c>
      <c r="B342" s="21">
        <v>8.93</v>
      </c>
      <c r="C342" s="238">
        <f t="shared" si="12"/>
        <v>28338</v>
      </c>
      <c r="D342" s="238">
        <v>36161</v>
      </c>
      <c r="E342" t="str">
        <f>TEXT(D342,"YYYY-MM-DD")</f>
        <v>1999-01-01</v>
      </c>
      <c r="F342" s="237">
        <f>AVERAGEIFS(B:B,C:C,D342)/100</f>
        <v>6.7850000000000008E-2</v>
      </c>
      <c r="G342" t="str">
        <f t="shared" si="11"/>
        <v>('1999-01-01',0.06785),</v>
      </c>
    </row>
    <row r="343" spans="1:7" ht="16.2" x14ac:dyDescent="0.35">
      <c r="A343" s="20">
        <v>28363</v>
      </c>
      <c r="B343" s="21">
        <v>8.93</v>
      </c>
      <c r="C343" s="238">
        <f t="shared" si="12"/>
        <v>28338</v>
      </c>
      <c r="D343" s="238">
        <v>36192</v>
      </c>
      <c r="E343" t="str">
        <f>TEXT(D343,"YYYY-MM-DD")</f>
        <v>1999-02-01</v>
      </c>
      <c r="F343" s="237">
        <f>AVERAGEIFS(B:B,C:C,D343)/100</f>
        <v>6.8074999999999997E-2</v>
      </c>
      <c r="G343" t="str">
        <f t="shared" si="11"/>
        <v>('1999-02-01',0.068075),</v>
      </c>
    </row>
    <row r="344" spans="1:7" ht="16.2" x14ac:dyDescent="0.35">
      <c r="A344" s="20">
        <v>28370</v>
      </c>
      <c r="B344" s="21">
        <v>8.8800000000000008</v>
      </c>
      <c r="C344" s="238">
        <f t="shared" si="12"/>
        <v>28369</v>
      </c>
      <c r="D344" s="238">
        <v>36220</v>
      </c>
      <c r="E344" t="str">
        <f>TEXT(D344,"YYYY-MM-DD")</f>
        <v>1999-03-01</v>
      </c>
      <c r="F344" s="237">
        <f>AVERAGEIFS(B:B,C:C,D344)/100</f>
        <v>7.0400000000000004E-2</v>
      </c>
      <c r="G344" t="str">
        <f t="shared" si="11"/>
        <v>('1999-03-01',0.0704),</v>
      </c>
    </row>
    <row r="345" spans="1:7" ht="16.2" x14ac:dyDescent="0.35">
      <c r="A345" s="20">
        <v>28377</v>
      </c>
      <c r="B345" s="21">
        <v>8.9</v>
      </c>
      <c r="C345" s="238">
        <f t="shared" si="12"/>
        <v>28369</v>
      </c>
      <c r="D345" s="238">
        <v>36251</v>
      </c>
      <c r="E345" t="str">
        <f>TEXT(D345,"YYYY-MM-DD")</f>
        <v>1999-04-01</v>
      </c>
      <c r="F345" s="237">
        <f>AVERAGEIFS(B:B,C:C,D345)/100</f>
        <v>6.9159999999999999E-2</v>
      </c>
      <c r="G345" t="str">
        <f t="shared" si="11"/>
        <v>('1999-04-01',0.06916),</v>
      </c>
    </row>
    <row r="346" spans="1:7" ht="16.2" x14ac:dyDescent="0.35">
      <c r="A346" s="20">
        <v>28384</v>
      </c>
      <c r="B346" s="21">
        <v>8.9</v>
      </c>
      <c r="C346" s="238">
        <f t="shared" si="12"/>
        <v>28369</v>
      </c>
      <c r="D346" s="238">
        <v>36281</v>
      </c>
      <c r="E346" t="str">
        <f>TEXT(D346,"YYYY-MM-DD")</f>
        <v>1999-05-01</v>
      </c>
      <c r="F346" s="237">
        <f>AVERAGEIFS(B:B,C:C,D346)/100</f>
        <v>7.145E-2</v>
      </c>
      <c r="G346" t="str">
        <f t="shared" si="11"/>
        <v>('1999-05-01',0.07145),</v>
      </c>
    </row>
    <row r="347" spans="1:7" ht="16.2" x14ac:dyDescent="0.35">
      <c r="A347" s="20">
        <v>28391</v>
      </c>
      <c r="B347" s="21">
        <v>8.9</v>
      </c>
      <c r="C347" s="238">
        <f t="shared" si="12"/>
        <v>28369</v>
      </c>
      <c r="D347" s="238">
        <v>36312</v>
      </c>
      <c r="E347" t="str">
        <f>TEXT(D347,"YYYY-MM-DD")</f>
        <v>1999-06-01</v>
      </c>
      <c r="F347" s="237">
        <f>AVERAGEIFS(B:B,C:C,D347)/100</f>
        <v>7.5499999999999998E-2</v>
      </c>
      <c r="G347" t="str">
        <f t="shared" si="11"/>
        <v>('1999-06-01',0.0755),</v>
      </c>
    </row>
    <row r="348" spans="1:7" ht="16.2" x14ac:dyDescent="0.35">
      <c r="A348" s="20">
        <v>28398</v>
      </c>
      <c r="B348" s="21">
        <v>8.9</v>
      </c>
      <c r="C348" s="238">
        <f t="shared" si="12"/>
        <v>28369</v>
      </c>
      <c r="D348" s="238">
        <v>36342</v>
      </c>
      <c r="E348" t="str">
        <f>TEXT(D348,"YYYY-MM-DD")</f>
        <v>1999-07-01</v>
      </c>
      <c r="F348" s="237">
        <f>AVERAGEIFS(B:B,C:C,D348)/100</f>
        <v>7.6319999999999999E-2</v>
      </c>
      <c r="G348" t="str">
        <f t="shared" si="11"/>
        <v>('1999-07-01',0.07632),</v>
      </c>
    </row>
    <row r="349" spans="1:7" ht="16.2" x14ac:dyDescent="0.35">
      <c r="A349" s="20">
        <v>28405</v>
      </c>
      <c r="B349" s="21">
        <v>8.93</v>
      </c>
      <c r="C349" s="238">
        <f t="shared" si="12"/>
        <v>28399</v>
      </c>
      <c r="D349" s="238">
        <v>36373</v>
      </c>
      <c r="E349" t="str">
        <f>TEXT(D349,"YYYY-MM-DD")</f>
        <v>1999-08-01</v>
      </c>
      <c r="F349" s="237">
        <f>AVERAGEIFS(B:B,C:C,D349)/100</f>
        <v>7.9424999999999996E-2</v>
      </c>
      <c r="G349" t="str">
        <f t="shared" si="11"/>
        <v>('1999-08-01',0.079425),</v>
      </c>
    </row>
    <row r="350" spans="1:7" ht="16.2" x14ac:dyDescent="0.35">
      <c r="A350" s="20">
        <v>28412</v>
      </c>
      <c r="B350" s="21">
        <v>8.93</v>
      </c>
      <c r="C350" s="238">
        <f t="shared" si="12"/>
        <v>28399</v>
      </c>
      <c r="D350" s="238">
        <v>36404</v>
      </c>
      <c r="E350" t="str">
        <f>TEXT(D350,"YYYY-MM-DD")</f>
        <v>1999-09-01</v>
      </c>
      <c r="F350" s="237">
        <f>AVERAGEIFS(B:B,C:C,D350)/100</f>
        <v>7.8225000000000003E-2</v>
      </c>
      <c r="G350" t="str">
        <f t="shared" si="11"/>
        <v>('1999-09-01',0.078225),</v>
      </c>
    </row>
    <row r="351" spans="1:7" ht="16.2" x14ac:dyDescent="0.35">
      <c r="A351" s="20">
        <v>28419</v>
      </c>
      <c r="B351" s="21">
        <v>8.93</v>
      </c>
      <c r="C351" s="238">
        <f t="shared" si="12"/>
        <v>28399</v>
      </c>
      <c r="D351" s="238">
        <v>36434</v>
      </c>
      <c r="E351" t="str">
        <f>TEXT(D351,"YYYY-MM-DD")</f>
        <v>1999-10-01</v>
      </c>
      <c r="F351" s="237">
        <f>AVERAGEIFS(B:B,C:C,D351)/100</f>
        <v>7.8519999999999993E-2</v>
      </c>
      <c r="G351" t="str">
        <f t="shared" si="11"/>
        <v>('1999-10-01',0.07852),</v>
      </c>
    </row>
    <row r="352" spans="1:7" ht="16.2" x14ac:dyDescent="0.35">
      <c r="A352" s="20">
        <v>28426</v>
      </c>
      <c r="B352" s="21">
        <v>8.9</v>
      </c>
      <c r="C352" s="238">
        <f t="shared" si="12"/>
        <v>28399</v>
      </c>
      <c r="D352" s="238">
        <v>36465</v>
      </c>
      <c r="E352" t="str">
        <f>TEXT(D352,"YYYY-MM-DD")</f>
        <v>1999-11-01</v>
      </c>
      <c r="F352" s="237">
        <f>AVERAGEIFS(B:B,C:C,D352)/100</f>
        <v>7.7374999999999999E-2</v>
      </c>
      <c r="G352" t="str">
        <f t="shared" si="11"/>
        <v>('1999-11-01',0.077375),</v>
      </c>
    </row>
    <row r="353" spans="1:7" ht="16.2" x14ac:dyDescent="0.35">
      <c r="A353" s="20">
        <v>28433</v>
      </c>
      <c r="B353" s="21">
        <v>8.9</v>
      </c>
      <c r="C353" s="238">
        <f t="shared" si="12"/>
        <v>28430</v>
      </c>
      <c r="D353" s="238">
        <v>36495</v>
      </c>
      <c r="E353" t="str">
        <f>TEXT(D353,"YYYY-MM-DD")</f>
        <v>1999-12-01</v>
      </c>
      <c r="F353" s="237">
        <f>AVERAGEIFS(B:B,C:C,D353)/100</f>
        <v>7.912000000000001E-2</v>
      </c>
      <c r="G353" t="str">
        <f t="shared" si="11"/>
        <v>('1999-12-01',0.07912),</v>
      </c>
    </row>
    <row r="354" spans="1:7" ht="16.2" x14ac:dyDescent="0.35">
      <c r="A354" s="20">
        <v>28440</v>
      </c>
      <c r="B354" s="21">
        <v>8.93</v>
      </c>
      <c r="C354" s="238">
        <f t="shared" si="12"/>
        <v>28430</v>
      </c>
      <c r="D354" s="238">
        <v>36526</v>
      </c>
      <c r="E354" t="str">
        <f>TEXT(D354,"YYYY-MM-DD")</f>
        <v>2000-01-01</v>
      </c>
      <c r="F354" s="237">
        <f>AVERAGEIFS(B:B,C:C,D354)/100</f>
        <v>8.2099999999999992E-2</v>
      </c>
      <c r="G354" t="str">
        <f t="shared" si="11"/>
        <v>('2000-01-01',0.0821),</v>
      </c>
    </row>
    <row r="355" spans="1:7" ht="16.2" x14ac:dyDescent="0.35">
      <c r="A355" s="20">
        <v>28447</v>
      </c>
      <c r="B355" s="21">
        <v>8.93</v>
      </c>
      <c r="C355" s="238">
        <f t="shared" si="12"/>
        <v>28430</v>
      </c>
      <c r="D355" s="238">
        <v>36557</v>
      </c>
      <c r="E355" t="str">
        <f>TEXT(D355,"YYYY-MM-DD")</f>
        <v>2000-02-01</v>
      </c>
      <c r="F355" s="237">
        <f>AVERAGEIFS(B:B,C:C,D355)/100</f>
        <v>8.3250000000000005E-2</v>
      </c>
      <c r="G355" t="str">
        <f t="shared" si="11"/>
        <v>('2000-02-01',0.08325),</v>
      </c>
    </row>
    <row r="356" spans="1:7" ht="16.2" x14ac:dyDescent="0.35">
      <c r="A356" s="20">
        <v>28454</v>
      </c>
      <c r="B356" s="21">
        <v>8.93</v>
      </c>
      <c r="C356" s="238">
        <f t="shared" si="12"/>
        <v>28430</v>
      </c>
      <c r="D356" s="238">
        <v>36586</v>
      </c>
      <c r="E356" t="str">
        <f>TEXT(D356,"YYYY-MM-DD")</f>
        <v>2000-03-01</v>
      </c>
      <c r="F356" s="237">
        <f>AVERAGEIFS(B:B,C:C,D356)/100</f>
        <v>8.2400000000000001E-2</v>
      </c>
      <c r="G356" t="str">
        <f t="shared" si="11"/>
        <v>('2000-03-01',0.0824),</v>
      </c>
    </row>
    <row r="357" spans="1:7" ht="16.2" x14ac:dyDescent="0.35">
      <c r="A357" s="20">
        <v>28461</v>
      </c>
      <c r="B357" s="21">
        <v>8.9499999999999993</v>
      </c>
      <c r="C357" s="238">
        <f t="shared" si="12"/>
        <v>28460</v>
      </c>
      <c r="D357" s="238">
        <v>36617</v>
      </c>
      <c r="E357" t="str">
        <f>TEXT(D357,"YYYY-MM-DD")</f>
        <v>2000-04-01</v>
      </c>
      <c r="F357" s="237">
        <f>AVERAGEIFS(B:B,C:C,D357)/100</f>
        <v>8.1525E-2</v>
      </c>
      <c r="G357" t="str">
        <f t="shared" si="11"/>
        <v>('2000-04-01',0.081525),</v>
      </c>
    </row>
    <row r="358" spans="1:7" ht="16.2" x14ac:dyDescent="0.35">
      <c r="A358" s="20">
        <v>28468</v>
      </c>
      <c r="B358" s="21">
        <v>8.9499999999999993</v>
      </c>
      <c r="C358" s="238">
        <f t="shared" si="12"/>
        <v>28460</v>
      </c>
      <c r="D358" s="238">
        <v>36647</v>
      </c>
      <c r="E358" t="str">
        <f>TEXT(D358,"YYYY-MM-DD")</f>
        <v>2000-05-01</v>
      </c>
      <c r="F358" s="237">
        <f>AVERAGEIFS(B:B,C:C,D358)/100</f>
        <v>8.514999999999999E-2</v>
      </c>
      <c r="G358" t="str">
        <f t="shared" si="11"/>
        <v>('2000-05-01',0.08515),</v>
      </c>
    </row>
    <row r="359" spans="1:7" ht="16.2" x14ac:dyDescent="0.35">
      <c r="A359" s="20">
        <v>28475</v>
      </c>
      <c r="B359" s="21">
        <v>8.9499999999999993</v>
      </c>
      <c r="C359" s="238">
        <f t="shared" si="12"/>
        <v>28460</v>
      </c>
      <c r="D359" s="238">
        <v>36678</v>
      </c>
      <c r="E359" t="str">
        <f>TEXT(D359,"YYYY-MM-DD")</f>
        <v>2000-06-01</v>
      </c>
      <c r="F359" s="237">
        <f>AVERAGEIFS(B:B,C:C,D359)/100</f>
        <v>8.2880000000000009E-2</v>
      </c>
      <c r="G359" t="str">
        <f t="shared" si="11"/>
        <v>('2000-06-01',0.08288),</v>
      </c>
    </row>
    <row r="360" spans="1:7" ht="16.2" x14ac:dyDescent="0.35">
      <c r="A360" s="20">
        <v>28482</v>
      </c>
      <c r="B360" s="21">
        <v>8.9499999999999993</v>
      </c>
      <c r="C360" s="238">
        <f t="shared" si="12"/>
        <v>28460</v>
      </c>
      <c r="D360" s="238">
        <v>36708</v>
      </c>
      <c r="E360" t="str">
        <f>TEXT(D360,"YYYY-MM-DD")</f>
        <v>2000-07-01</v>
      </c>
      <c r="F360" s="237">
        <f>AVERAGEIFS(B:B,C:C,D360)/100</f>
        <v>8.1475000000000006E-2</v>
      </c>
      <c r="G360" t="str">
        <f t="shared" si="11"/>
        <v>('2000-07-01',0.081475),</v>
      </c>
    </row>
    <row r="361" spans="1:7" ht="16.2" x14ac:dyDescent="0.35">
      <c r="A361" s="20">
        <v>28489</v>
      </c>
      <c r="B361" s="21">
        <v>9</v>
      </c>
      <c r="C361" s="238">
        <f t="shared" si="12"/>
        <v>28460</v>
      </c>
      <c r="D361" s="238">
        <v>36739</v>
      </c>
      <c r="E361" t="str">
        <f>TEXT(D361,"YYYY-MM-DD")</f>
        <v>2000-08-01</v>
      </c>
      <c r="F361" s="237">
        <f>AVERAGEIFS(B:B,C:C,D361)/100</f>
        <v>8.0274999999999999E-2</v>
      </c>
      <c r="G361" t="str">
        <f t="shared" si="11"/>
        <v>('2000-08-01',0.080275),</v>
      </c>
    </row>
    <row r="362" spans="1:7" ht="16.2" x14ac:dyDescent="0.35">
      <c r="A362" s="20">
        <v>28496</v>
      </c>
      <c r="B362" s="21">
        <v>9</v>
      </c>
      <c r="C362" s="238">
        <f t="shared" si="12"/>
        <v>28491</v>
      </c>
      <c r="D362" s="238">
        <v>36770</v>
      </c>
      <c r="E362" t="str">
        <f>TEXT(D362,"YYYY-MM-DD")</f>
        <v>2000-09-01</v>
      </c>
      <c r="F362" s="237">
        <f>AVERAGEIFS(B:B,C:C,D362)/100</f>
        <v>7.912000000000001E-2</v>
      </c>
      <c r="G362" t="str">
        <f t="shared" si="11"/>
        <v>('2000-09-01',0.07912),</v>
      </c>
    </row>
    <row r="363" spans="1:7" ht="16.2" x14ac:dyDescent="0.35">
      <c r="A363" s="20">
        <v>28503</v>
      </c>
      <c r="B363" s="21">
        <v>9.0299999999999994</v>
      </c>
      <c r="C363" s="238">
        <f t="shared" si="12"/>
        <v>28491</v>
      </c>
      <c r="D363" s="238">
        <v>36800</v>
      </c>
      <c r="E363" t="str">
        <f>TEXT(D363,"YYYY-MM-DD")</f>
        <v>2000-10-01</v>
      </c>
      <c r="F363" s="237">
        <f>AVERAGEIFS(B:B,C:C,D363)/100</f>
        <v>7.7950000000000005E-2</v>
      </c>
      <c r="G363" t="str">
        <f t="shared" si="11"/>
        <v>('2000-10-01',0.07795),</v>
      </c>
    </row>
    <row r="364" spans="1:7" ht="16.2" x14ac:dyDescent="0.35">
      <c r="A364" s="20">
        <v>28510</v>
      </c>
      <c r="B364" s="21">
        <v>8.98</v>
      </c>
      <c r="C364" s="238">
        <f t="shared" si="12"/>
        <v>28491</v>
      </c>
      <c r="D364" s="238">
        <v>36831</v>
      </c>
      <c r="E364" t="str">
        <f>TEXT(D364,"YYYY-MM-DD")</f>
        <v>2000-11-01</v>
      </c>
      <c r="F364" s="237">
        <f>AVERAGEIFS(B:B,C:C,D364)/100</f>
        <v>7.7450000000000005E-2</v>
      </c>
      <c r="G364" t="str">
        <f t="shared" si="11"/>
        <v>('2000-11-01',0.07745),</v>
      </c>
    </row>
    <row r="365" spans="1:7" ht="16.2" x14ac:dyDescent="0.35">
      <c r="A365" s="20">
        <v>28517</v>
      </c>
      <c r="B365" s="21">
        <v>9.0500000000000007</v>
      </c>
      <c r="C365" s="238">
        <f t="shared" si="12"/>
        <v>28491</v>
      </c>
      <c r="D365" s="238">
        <v>36861</v>
      </c>
      <c r="E365" t="str">
        <f>TEXT(D365,"YYYY-MM-DD")</f>
        <v>2000-12-01</v>
      </c>
      <c r="F365" s="237">
        <f>AVERAGEIFS(B:B,C:C,D365)/100</f>
        <v>7.3820000000000011E-2</v>
      </c>
      <c r="G365" t="str">
        <f t="shared" si="11"/>
        <v>('2000-12-01',0.07382),</v>
      </c>
    </row>
    <row r="366" spans="1:7" ht="16.2" x14ac:dyDescent="0.35">
      <c r="A366" s="20">
        <v>28524</v>
      </c>
      <c r="B366" s="21">
        <v>9.1300000000000008</v>
      </c>
      <c r="C366" s="238">
        <f t="shared" si="12"/>
        <v>28522</v>
      </c>
      <c r="D366" s="238">
        <v>36892</v>
      </c>
      <c r="E366" t="str">
        <f>TEXT(D366,"YYYY-MM-DD")</f>
        <v>2001-01-01</v>
      </c>
      <c r="F366" s="237">
        <f>AVERAGEIFS(B:B,C:C,D366)/100</f>
        <v>7.0325000000000013E-2</v>
      </c>
      <c r="G366" t="str">
        <f t="shared" si="11"/>
        <v>('2001-01-01',0.070325),</v>
      </c>
    </row>
    <row r="367" spans="1:7" ht="16.2" x14ac:dyDescent="0.35">
      <c r="A367" s="20">
        <v>28531</v>
      </c>
      <c r="B367" s="21">
        <v>9.15</v>
      </c>
      <c r="C367" s="238">
        <f t="shared" si="12"/>
        <v>28522</v>
      </c>
      <c r="D367" s="238">
        <v>36923</v>
      </c>
      <c r="E367" t="str">
        <f>TEXT(D367,"YYYY-MM-DD")</f>
        <v>2001-02-01</v>
      </c>
      <c r="F367" s="237">
        <f>AVERAGEIFS(B:B,C:C,D367)/100</f>
        <v>7.0499999999999993E-2</v>
      </c>
      <c r="G367" t="str">
        <f t="shared" si="11"/>
        <v>('2001-02-01',0.0705),</v>
      </c>
    </row>
    <row r="368" spans="1:7" ht="16.2" x14ac:dyDescent="0.35">
      <c r="A368" s="20">
        <v>28538</v>
      </c>
      <c r="B368" s="21">
        <v>9.15</v>
      </c>
      <c r="C368" s="238">
        <f t="shared" si="12"/>
        <v>28522</v>
      </c>
      <c r="D368" s="238">
        <v>36951</v>
      </c>
      <c r="E368" t="str">
        <f>TEXT(D368,"YYYY-MM-DD")</f>
        <v>2001-03-01</v>
      </c>
      <c r="F368" s="237">
        <f>AVERAGEIFS(B:B,C:C,D368)/100</f>
        <v>6.9520000000000012E-2</v>
      </c>
      <c r="G368" t="str">
        <f t="shared" si="11"/>
        <v>('2001-03-01',0.06952),</v>
      </c>
    </row>
    <row r="369" spans="1:7" ht="16.2" x14ac:dyDescent="0.35">
      <c r="A369" s="20">
        <v>28545</v>
      </c>
      <c r="B369" s="21">
        <v>9.15</v>
      </c>
      <c r="C369" s="238">
        <f t="shared" si="12"/>
        <v>28522</v>
      </c>
      <c r="D369" s="238">
        <v>36982</v>
      </c>
      <c r="E369" t="str">
        <f>TEXT(D369,"YYYY-MM-DD")</f>
        <v>2001-04-01</v>
      </c>
      <c r="F369" s="237">
        <f>AVERAGEIFS(B:B,C:C,D369)/100</f>
        <v>7.0775000000000005E-2</v>
      </c>
      <c r="G369" t="str">
        <f t="shared" si="11"/>
        <v>('2001-04-01',0.070775),</v>
      </c>
    </row>
    <row r="370" spans="1:7" ht="16.2" x14ac:dyDescent="0.35">
      <c r="A370" s="20">
        <v>28552</v>
      </c>
      <c r="B370" s="21">
        <v>9.15</v>
      </c>
      <c r="C370" s="238">
        <f t="shared" si="12"/>
        <v>28550</v>
      </c>
      <c r="D370" s="238">
        <v>37012</v>
      </c>
      <c r="E370" t="str">
        <f>TEXT(D370,"YYYY-MM-DD")</f>
        <v>2001-05-01</v>
      </c>
      <c r="F370" s="237">
        <f>AVERAGEIFS(B:B,C:C,D370)/100</f>
        <v>7.145E-2</v>
      </c>
      <c r="G370" t="str">
        <f t="shared" si="11"/>
        <v>('2001-05-01',0.07145),</v>
      </c>
    </row>
    <row r="371" spans="1:7" ht="16.2" x14ac:dyDescent="0.35">
      <c r="A371" s="20">
        <v>28559</v>
      </c>
      <c r="B371" s="21">
        <v>9.15</v>
      </c>
      <c r="C371" s="238">
        <f t="shared" si="12"/>
        <v>28550</v>
      </c>
      <c r="D371" s="238">
        <v>37043</v>
      </c>
      <c r="E371" t="str">
        <f>TEXT(D371,"YYYY-MM-DD")</f>
        <v>2001-06-01</v>
      </c>
      <c r="F371" s="237">
        <f>AVERAGEIFS(B:B,C:C,D371)/100</f>
        <v>7.1600000000000011E-2</v>
      </c>
      <c r="G371" t="str">
        <f t="shared" si="11"/>
        <v>('2001-06-01',0.0716),</v>
      </c>
    </row>
    <row r="372" spans="1:7" ht="16.2" x14ac:dyDescent="0.35">
      <c r="A372" s="20">
        <v>28566</v>
      </c>
      <c r="B372" s="21">
        <v>9.23</v>
      </c>
      <c r="C372" s="238">
        <f t="shared" si="12"/>
        <v>28550</v>
      </c>
      <c r="D372" s="238">
        <v>37073</v>
      </c>
      <c r="E372" t="str">
        <f>TEXT(D372,"YYYY-MM-DD")</f>
        <v>2001-07-01</v>
      </c>
      <c r="F372" s="237">
        <f>AVERAGEIFS(B:B,C:C,D372)/100</f>
        <v>7.1275000000000005E-2</v>
      </c>
      <c r="G372" t="str">
        <f t="shared" si="11"/>
        <v>('2001-07-01',0.071275),</v>
      </c>
    </row>
    <row r="373" spans="1:7" ht="16.2" x14ac:dyDescent="0.35">
      <c r="A373" s="20">
        <v>28573</v>
      </c>
      <c r="B373" s="21">
        <v>9.23</v>
      </c>
      <c r="C373" s="238">
        <f t="shared" si="12"/>
        <v>28550</v>
      </c>
      <c r="D373" s="238">
        <v>37104</v>
      </c>
      <c r="E373" t="str">
        <f>TEXT(D373,"YYYY-MM-DD")</f>
        <v>2001-08-01</v>
      </c>
      <c r="F373" s="237">
        <f>AVERAGEIFS(B:B,C:C,D373)/100</f>
        <v>6.9500000000000006E-2</v>
      </c>
      <c r="G373" t="str">
        <f t="shared" si="11"/>
        <v>('2001-08-01',0.0695),</v>
      </c>
    </row>
    <row r="374" spans="1:7" ht="16.2" x14ac:dyDescent="0.35">
      <c r="A374" s="20">
        <v>28580</v>
      </c>
      <c r="B374" s="21">
        <v>9.25</v>
      </c>
      <c r="C374" s="238">
        <f t="shared" si="12"/>
        <v>28550</v>
      </c>
      <c r="D374" s="238">
        <v>37135</v>
      </c>
      <c r="E374" t="str">
        <f>TEXT(D374,"YYYY-MM-DD")</f>
        <v>2001-09-01</v>
      </c>
      <c r="F374" s="237">
        <f>AVERAGEIFS(B:B,C:C,D374)/100</f>
        <v>6.8174999999999999E-2</v>
      </c>
      <c r="G374" t="str">
        <f t="shared" si="11"/>
        <v>('2001-09-01',0.068175),</v>
      </c>
    </row>
    <row r="375" spans="1:7" ht="16.2" x14ac:dyDescent="0.35">
      <c r="A375" s="20">
        <v>28587</v>
      </c>
      <c r="B375" s="21">
        <v>9.2799999999999994</v>
      </c>
      <c r="C375" s="238">
        <f t="shared" si="12"/>
        <v>28581</v>
      </c>
      <c r="D375" s="238">
        <v>37165</v>
      </c>
      <c r="E375" t="str">
        <f>TEXT(D375,"YYYY-MM-DD")</f>
        <v>2001-10-01</v>
      </c>
      <c r="F375" s="237">
        <f>AVERAGEIFS(B:B,C:C,D375)/100</f>
        <v>6.6174999999999998E-2</v>
      </c>
      <c r="G375" t="str">
        <f t="shared" si="11"/>
        <v>('2001-10-01',0.066175),</v>
      </c>
    </row>
    <row r="376" spans="1:7" ht="16.2" x14ac:dyDescent="0.35">
      <c r="A376" s="20">
        <v>28594</v>
      </c>
      <c r="B376" s="21">
        <v>9.33</v>
      </c>
      <c r="C376" s="238">
        <f t="shared" si="12"/>
        <v>28581</v>
      </c>
      <c r="D376" s="238">
        <v>37196</v>
      </c>
      <c r="E376" t="str">
        <f>TEXT(D376,"YYYY-MM-DD")</f>
        <v>2001-11-01</v>
      </c>
      <c r="F376" s="237">
        <f>AVERAGEIFS(B:B,C:C,D376)/100</f>
        <v>6.658E-2</v>
      </c>
      <c r="G376" t="str">
        <f t="shared" si="11"/>
        <v>('2001-11-01',0.06658),</v>
      </c>
    </row>
    <row r="377" spans="1:7" ht="16.2" x14ac:dyDescent="0.35">
      <c r="A377" s="20">
        <v>28601</v>
      </c>
      <c r="B377" s="21">
        <v>9.3800000000000008</v>
      </c>
      <c r="C377" s="238">
        <f t="shared" si="12"/>
        <v>28581</v>
      </c>
      <c r="D377" s="238">
        <v>37226</v>
      </c>
      <c r="E377" t="str">
        <f>TEXT(D377,"YYYY-MM-DD")</f>
        <v>2001-12-01</v>
      </c>
      <c r="F377" s="237">
        <f>AVERAGEIFS(B:B,C:C,D377)/100</f>
        <v>7.0650000000000004E-2</v>
      </c>
      <c r="G377" t="str">
        <f t="shared" si="11"/>
        <v>('2001-12-01',0.07065),</v>
      </c>
    </row>
    <row r="378" spans="1:7" ht="16.2" x14ac:dyDescent="0.35">
      <c r="A378" s="20">
        <v>28608</v>
      </c>
      <c r="B378" s="21">
        <v>9.43</v>
      </c>
      <c r="C378" s="238">
        <f t="shared" si="12"/>
        <v>28581</v>
      </c>
      <c r="D378" s="238">
        <v>37257</v>
      </c>
      <c r="E378" t="str">
        <f>TEXT(D378,"YYYY-MM-DD")</f>
        <v>2002-01-01</v>
      </c>
      <c r="F378" s="237">
        <f>AVERAGEIFS(B:B,C:C,D378)/100</f>
        <v>6.9975000000000009E-2</v>
      </c>
      <c r="G378" t="str">
        <f t="shared" si="11"/>
        <v>('2002-01-01',0.069975),</v>
      </c>
    </row>
    <row r="379" spans="1:7" ht="16.2" x14ac:dyDescent="0.35">
      <c r="A379" s="20">
        <v>28615</v>
      </c>
      <c r="B379" s="21">
        <v>9.48</v>
      </c>
      <c r="C379" s="238">
        <f t="shared" si="12"/>
        <v>28611</v>
      </c>
      <c r="D379" s="238">
        <v>37288</v>
      </c>
      <c r="E379" t="str">
        <f>TEXT(D379,"YYYY-MM-DD")</f>
        <v>2002-02-01</v>
      </c>
      <c r="F379" s="237">
        <f>AVERAGEIFS(B:B,C:C,D379)/100</f>
        <v>6.8924999999999986E-2</v>
      </c>
      <c r="G379" t="str">
        <f t="shared" si="11"/>
        <v>('2002-02-01',0.068925),</v>
      </c>
    </row>
    <row r="380" spans="1:7" ht="16.2" x14ac:dyDescent="0.35">
      <c r="A380" s="20">
        <v>28622</v>
      </c>
      <c r="B380" s="21">
        <v>9.5500000000000007</v>
      </c>
      <c r="C380" s="238">
        <f t="shared" si="12"/>
        <v>28611</v>
      </c>
      <c r="D380" s="238">
        <v>37316</v>
      </c>
      <c r="E380" t="str">
        <f>TEXT(D380,"YYYY-MM-DD")</f>
        <v>2002-03-01</v>
      </c>
      <c r="F380" s="237">
        <f>AVERAGEIFS(B:B,C:C,D380)/100</f>
        <v>7.0140000000000008E-2</v>
      </c>
      <c r="G380" t="str">
        <f t="shared" si="11"/>
        <v>('2002-03-01',0.07014),</v>
      </c>
    </row>
    <row r="381" spans="1:7" ht="16.2" x14ac:dyDescent="0.35">
      <c r="A381" s="20">
        <v>28629</v>
      </c>
      <c r="B381" s="21">
        <v>9.58</v>
      </c>
      <c r="C381" s="238">
        <f t="shared" si="12"/>
        <v>28611</v>
      </c>
      <c r="D381" s="238">
        <v>37347</v>
      </c>
      <c r="E381" t="str">
        <f>TEXT(D381,"YYYY-MM-DD")</f>
        <v>2002-04-01</v>
      </c>
      <c r="F381" s="237">
        <f>AVERAGEIFS(B:B,C:C,D381)/100</f>
        <v>6.9850000000000009E-2</v>
      </c>
      <c r="G381" t="str">
        <f t="shared" si="11"/>
        <v>('2002-04-01',0.06985),</v>
      </c>
    </row>
    <row r="382" spans="1:7" ht="16.2" x14ac:dyDescent="0.35">
      <c r="A382" s="20">
        <v>28636</v>
      </c>
      <c r="B382" s="21">
        <v>9.68</v>
      </c>
      <c r="C382" s="238">
        <f t="shared" si="12"/>
        <v>28611</v>
      </c>
      <c r="D382" s="238">
        <v>37377</v>
      </c>
      <c r="E382" t="str">
        <f>TEXT(D382,"YYYY-MM-DD")</f>
        <v>2002-05-01</v>
      </c>
      <c r="F382" s="237">
        <f>AVERAGEIFS(B:B,C:C,D382)/100</f>
        <v>6.8059999999999996E-2</v>
      </c>
      <c r="G382" t="str">
        <f t="shared" si="11"/>
        <v>('2002-05-01',0.06806),</v>
      </c>
    </row>
    <row r="383" spans="1:7" ht="16.2" x14ac:dyDescent="0.35">
      <c r="A383" s="20">
        <v>28643</v>
      </c>
      <c r="B383" s="21">
        <v>9.68</v>
      </c>
      <c r="C383" s="238">
        <f t="shared" si="12"/>
        <v>28642</v>
      </c>
      <c r="D383" s="238">
        <v>37408</v>
      </c>
      <c r="E383" t="str">
        <f>TEXT(D383,"YYYY-MM-DD")</f>
        <v>2002-06-01</v>
      </c>
      <c r="F383" s="237">
        <f>AVERAGEIFS(B:B,C:C,D383)/100</f>
        <v>6.6500000000000004E-2</v>
      </c>
      <c r="G383" t="str">
        <f t="shared" si="11"/>
        <v>('2002-06-01',0.0665),</v>
      </c>
    </row>
    <row r="384" spans="1:7" ht="16.2" x14ac:dyDescent="0.35">
      <c r="A384" s="20">
        <v>28650</v>
      </c>
      <c r="B384" s="21">
        <v>9.6999999999999993</v>
      </c>
      <c r="C384" s="238">
        <f t="shared" si="12"/>
        <v>28642</v>
      </c>
      <c r="D384" s="238">
        <v>37438</v>
      </c>
      <c r="E384" t="str">
        <f>TEXT(D384,"YYYY-MM-DD")</f>
        <v>2002-07-01</v>
      </c>
      <c r="F384" s="237">
        <f>AVERAGEIFS(B:B,C:C,D384)/100</f>
        <v>6.4850000000000005E-2</v>
      </c>
      <c r="G384" t="str">
        <f t="shared" si="11"/>
        <v>('2002-07-01',0.06485),</v>
      </c>
    </row>
    <row r="385" spans="1:7" ht="16.2" x14ac:dyDescent="0.35">
      <c r="A385" s="20">
        <v>28657</v>
      </c>
      <c r="B385" s="21">
        <v>9.73</v>
      </c>
      <c r="C385" s="238">
        <f t="shared" si="12"/>
        <v>28642</v>
      </c>
      <c r="D385" s="238">
        <v>37469</v>
      </c>
      <c r="E385" t="str">
        <f>TEXT(D385,"YYYY-MM-DD")</f>
        <v>2002-08-01</v>
      </c>
      <c r="F385" s="237">
        <f>AVERAGEIFS(B:B,C:C,D385)/100</f>
        <v>6.2899999999999998E-2</v>
      </c>
      <c r="G385" t="str">
        <f t="shared" si="11"/>
        <v>('2002-08-01',0.0629),</v>
      </c>
    </row>
    <row r="386" spans="1:7" ht="16.2" x14ac:dyDescent="0.35">
      <c r="A386" s="20">
        <v>28664</v>
      </c>
      <c r="B386" s="21">
        <v>9.6999999999999993</v>
      </c>
      <c r="C386" s="238">
        <f t="shared" si="12"/>
        <v>28642</v>
      </c>
      <c r="D386" s="238">
        <v>37500</v>
      </c>
      <c r="E386" t="str">
        <f>TEXT(D386,"YYYY-MM-DD")</f>
        <v>2002-09-01</v>
      </c>
      <c r="F386" s="237">
        <f>AVERAGEIFS(B:B,C:C,D386)/100</f>
        <v>6.0924999999999993E-2</v>
      </c>
      <c r="G386" t="str">
        <f t="shared" si="11"/>
        <v>('2002-09-01',0.060925),</v>
      </c>
    </row>
    <row r="387" spans="1:7" ht="16.2" x14ac:dyDescent="0.35">
      <c r="A387" s="20">
        <v>28671</v>
      </c>
      <c r="B387" s="21">
        <v>9.73</v>
      </c>
      <c r="C387" s="238">
        <f t="shared" si="12"/>
        <v>28642</v>
      </c>
      <c r="D387" s="238">
        <v>37530</v>
      </c>
      <c r="E387" t="str">
        <f>TEXT(D387,"YYYY-MM-DD")</f>
        <v>2002-10-01</v>
      </c>
      <c r="F387" s="237">
        <f>AVERAGEIFS(B:B,C:C,D387)/100</f>
        <v>6.1124999999999999E-2</v>
      </c>
      <c r="G387" t="str">
        <f t="shared" si="11"/>
        <v>('2002-10-01',0.061125),</v>
      </c>
    </row>
    <row r="388" spans="1:7" ht="16.2" x14ac:dyDescent="0.35">
      <c r="A388" s="20">
        <v>28678</v>
      </c>
      <c r="B388" s="21">
        <v>9.73</v>
      </c>
      <c r="C388" s="238">
        <f t="shared" si="12"/>
        <v>28672</v>
      </c>
      <c r="D388" s="238">
        <v>37561</v>
      </c>
      <c r="E388" t="str">
        <f>TEXT(D388,"YYYY-MM-DD")</f>
        <v>2002-11-01</v>
      </c>
      <c r="F388" s="237">
        <f>AVERAGEIFS(B:B,C:C,D388)/100</f>
        <v>6.0679999999999998E-2</v>
      </c>
      <c r="G388" t="str">
        <f t="shared" si="11"/>
        <v>('2002-11-01',0.06068),</v>
      </c>
    </row>
    <row r="389" spans="1:7" ht="16.2" x14ac:dyDescent="0.35">
      <c r="A389" s="20">
        <v>28685</v>
      </c>
      <c r="B389" s="21">
        <v>9.73</v>
      </c>
      <c r="C389" s="238">
        <f t="shared" si="12"/>
        <v>28672</v>
      </c>
      <c r="D389" s="238">
        <v>37591</v>
      </c>
      <c r="E389" t="str">
        <f>TEXT(D389,"YYYY-MM-DD")</f>
        <v>2002-12-01</v>
      </c>
      <c r="F389" s="237">
        <f>AVERAGEIFS(B:B,C:C,D389)/100</f>
        <v>6.0475000000000001E-2</v>
      </c>
      <c r="G389" t="str">
        <f t="shared" si="11"/>
        <v>('2002-12-01',0.060475),</v>
      </c>
    </row>
    <row r="390" spans="1:7" ht="16.2" x14ac:dyDescent="0.35">
      <c r="A390" s="20">
        <v>28692</v>
      </c>
      <c r="B390" s="21">
        <v>9.75</v>
      </c>
      <c r="C390" s="238">
        <f t="shared" si="12"/>
        <v>28672</v>
      </c>
      <c r="D390" s="238">
        <v>37622</v>
      </c>
      <c r="E390" t="str">
        <f>TEXT(D390,"YYYY-MM-DD")</f>
        <v>2003-01-01</v>
      </c>
      <c r="F390" s="237">
        <f>AVERAGEIFS(B:B,C:C,D390)/100</f>
        <v>5.9159999999999997E-2</v>
      </c>
      <c r="G390" t="str">
        <f t="shared" si="11"/>
        <v>('2003-01-01',0.05916),</v>
      </c>
    </row>
    <row r="391" spans="1:7" ht="16.2" x14ac:dyDescent="0.35">
      <c r="A391" s="20">
        <v>28699</v>
      </c>
      <c r="B391" s="21">
        <v>9.75</v>
      </c>
      <c r="C391" s="238">
        <f t="shared" si="12"/>
        <v>28672</v>
      </c>
      <c r="D391" s="238">
        <v>37653</v>
      </c>
      <c r="E391" t="str">
        <f>TEXT(D391,"YYYY-MM-DD")</f>
        <v>2003-02-01</v>
      </c>
      <c r="F391" s="237">
        <f>AVERAGEIFS(B:B,C:C,D391)/100</f>
        <v>5.8424999999999991E-2</v>
      </c>
      <c r="G391" t="str">
        <f t="shared" si="11"/>
        <v>('2003-02-01',0.058425),</v>
      </c>
    </row>
    <row r="392" spans="1:7" ht="16.2" x14ac:dyDescent="0.35">
      <c r="A392" s="20">
        <v>28706</v>
      </c>
      <c r="B392" s="21">
        <v>9.7799999999999994</v>
      </c>
      <c r="C392" s="238">
        <f t="shared" si="12"/>
        <v>28703</v>
      </c>
      <c r="D392" s="238">
        <v>37681</v>
      </c>
      <c r="E392" t="str">
        <f>TEXT(D392,"YYYY-MM-DD")</f>
        <v>2003-03-01</v>
      </c>
      <c r="F392" s="237">
        <f>AVERAGEIFS(B:B,C:C,D392)/100</f>
        <v>5.7450000000000001E-2</v>
      </c>
      <c r="G392" t="str">
        <f t="shared" si="11"/>
        <v>('2003-03-01',0.05745),</v>
      </c>
    </row>
    <row r="393" spans="1:7" ht="16.2" x14ac:dyDescent="0.35">
      <c r="A393" s="20">
        <v>28713</v>
      </c>
      <c r="B393" s="21">
        <v>9.7799999999999994</v>
      </c>
      <c r="C393" s="238">
        <f t="shared" si="12"/>
        <v>28703</v>
      </c>
      <c r="D393" s="238">
        <v>37712</v>
      </c>
      <c r="E393" t="str">
        <f>TEXT(D393,"YYYY-MM-DD")</f>
        <v>2003-04-01</v>
      </c>
      <c r="F393" s="237">
        <f>AVERAGEIFS(B:B,C:C,D393)/100</f>
        <v>5.8125000000000003E-2</v>
      </c>
      <c r="G393" t="str">
        <f t="shared" si="11"/>
        <v>('2003-04-01',0.058125),</v>
      </c>
    </row>
    <row r="394" spans="1:7" ht="16.2" x14ac:dyDescent="0.35">
      <c r="A394" s="20">
        <v>28720</v>
      </c>
      <c r="B394" s="21">
        <v>9.7799999999999994</v>
      </c>
      <c r="C394" s="238">
        <f t="shared" si="12"/>
        <v>28703</v>
      </c>
      <c r="D394" s="238">
        <v>37742</v>
      </c>
      <c r="E394" t="str">
        <f>TEXT(D394,"YYYY-MM-DD")</f>
        <v>2003-05-01</v>
      </c>
      <c r="F394" s="237">
        <f>AVERAGEIFS(B:B,C:C,D394)/100</f>
        <v>5.484E-2</v>
      </c>
      <c r="G394" t="str">
        <f t="shared" si="11"/>
        <v>('2003-05-01',0.05484),</v>
      </c>
    </row>
    <row r="395" spans="1:7" ht="16.2" x14ac:dyDescent="0.35">
      <c r="A395" s="20">
        <v>28727</v>
      </c>
      <c r="B395" s="21">
        <v>9.8000000000000007</v>
      </c>
      <c r="C395" s="238">
        <f t="shared" si="12"/>
        <v>28703</v>
      </c>
      <c r="D395" s="238">
        <v>37773</v>
      </c>
      <c r="E395" t="str">
        <f>TEXT(D395,"YYYY-MM-DD")</f>
        <v>2003-06-01</v>
      </c>
      <c r="F395" s="237">
        <f>AVERAGEIFS(B:B,C:C,D395)/100</f>
        <v>5.2300000000000006E-2</v>
      </c>
      <c r="G395" t="str">
        <f t="shared" ref="G395:G458" si="13">"('"&amp;E395&amp;"',"&amp;F395&amp;")"&amp;IF(LEN(E396)+LEN(F396)&gt;0,",",";")</f>
        <v>('2003-06-01',0.0523),</v>
      </c>
    </row>
    <row r="396" spans="1:7" ht="16.2" x14ac:dyDescent="0.35">
      <c r="A396" s="20">
        <v>28734</v>
      </c>
      <c r="B396" s="21">
        <v>9.75</v>
      </c>
      <c r="C396" s="238">
        <f t="shared" si="12"/>
        <v>28734</v>
      </c>
      <c r="D396" s="238">
        <v>37803</v>
      </c>
      <c r="E396" t="str">
        <f>TEXT(D396,"YYYY-MM-DD")</f>
        <v>2003-07-01</v>
      </c>
      <c r="F396" s="237">
        <f>AVERAGEIFS(B:B,C:C,D396)/100</f>
        <v>5.6325E-2</v>
      </c>
      <c r="G396" t="str">
        <f t="shared" si="13"/>
        <v>('2003-07-01',0.056325),</v>
      </c>
    </row>
    <row r="397" spans="1:7" ht="16.2" x14ac:dyDescent="0.35">
      <c r="A397" s="20">
        <v>28741</v>
      </c>
      <c r="B397" s="21">
        <v>9.75</v>
      </c>
      <c r="C397" s="238">
        <f t="shared" si="12"/>
        <v>28734</v>
      </c>
      <c r="D397" s="238">
        <v>37834</v>
      </c>
      <c r="E397" t="str">
        <f>TEXT(D397,"YYYY-MM-DD")</f>
        <v>2003-08-01</v>
      </c>
      <c r="F397" s="237">
        <f>AVERAGEIFS(B:B,C:C,D397)/100</f>
        <v>6.2640000000000001E-2</v>
      </c>
      <c r="G397" t="str">
        <f t="shared" si="13"/>
        <v>('2003-08-01',0.06264),</v>
      </c>
    </row>
    <row r="398" spans="1:7" ht="16.2" x14ac:dyDescent="0.35">
      <c r="A398" s="20">
        <v>28748</v>
      </c>
      <c r="B398" s="21">
        <v>9.75</v>
      </c>
      <c r="C398" s="238">
        <f t="shared" si="12"/>
        <v>28734</v>
      </c>
      <c r="D398" s="238">
        <v>37865</v>
      </c>
      <c r="E398" t="str">
        <f>TEXT(D398,"YYYY-MM-DD")</f>
        <v>2003-09-01</v>
      </c>
      <c r="F398" s="237">
        <f>AVERAGEIFS(B:B,C:C,D398)/100</f>
        <v>6.1475000000000002E-2</v>
      </c>
      <c r="G398" t="str">
        <f t="shared" si="13"/>
        <v>('2003-09-01',0.061475),</v>
      </c>
    </row>
    <row r="399" spans="1:7" ht="16.2" x14ac:dyDescent="0.35">
      <c r="A399" s="20">
        <v>28755</v>
      </c>
      <c r="B399" s="21">
        <v>9.75</v>
      </c>
      <c r="C399" s="238">
        <f t="shared" si="12"/>
        <v>28734</v>
      </c>
      <c r="D399" s="238">
        <v>37895</v>
      </c>
      <c r="E399" t="str">
        <f>TEXT(D399,"YYYY-MM-DD")</f>
        <v>2003-10-01</v>
      </c>
      <c r="F399" s="237">
        <f>AVERAGEIFS(B:B,C:C,D399)/100</f>
        <v>5.9519999999999997E-2</v>
      </c>
      <c r="G399" t="str">
        <f t="shared" si="13"/>
        <v>('2003-10-01',0.05952),</v>
      </c>
    </row>
    <row r="400" spans="1:7" ht="16.2" x14ac:dyDescent="0.35">
      <c r="A400" s="20">
        <v>28762</v>
      </c>
      <c r="B400" s="21">
        <v>9.7799999999999994</v>
      </c>
      <c r="C400" s="238">
        <f t="shared" ref="C400:C463" si="14">EOMONTH(A400,-1)+1</f>
        <v>28734</v>
      </c>
      <c r="D400" s="238">
        <v>37926</v>
      </c>
      <c r="E400" t="str">
        <f>TEXT(D400,"YYYY-MM-DD")</f>
        <v>2003-11-01</v>
      </c>
      <c r="F400" s="237">
        <f>AVERAGEIFS(B:B,C:C,D400)/100</f>
        <v>5.932500000000001E-2</v>
      </c>
      <c r="G400" t="str">
        <f t="shared" si="13"/>
        <v>('2003-11-01',0.059325),</v>
      </c>
    </row>
    <row r="401" spans="1:7" ht="16.2" x14ac:dyDescent="0.35">
      <c r="A401" s="20">
        <v>28769</v>
      </c>
      <c r="B401" s="21">
        <v>9.85</v>
      </c>
      <c r="C401" s="238">
        <f t="shared" si="14"/>
        <v>28764</v>
      </c>
      <c r="D401" s="238">
        <v>37956</v>
      </c>
      <c r="E401" t="str">
        <f>TEXT(D401,"YYYY-MM-DD")</f>
        <v>2003-12-01</v>
      </c>
      <c r="F401" s="237">
        <f>AVERAGEIFS(B:B,C:C,D401)/100</f>
        <v>5.8759999999999993E-2</v>
      </c>
      <c r="G401" t="str">
        <f t="shared" si="13"/>
        <v>('2003-12-01',0.05876),</v>
      </c>
    </row>
    <row r="402" spans="1:7" ht="16.2" x14ac:dyDescent="0.35">
      <c r="A402" s="20">
        <v>28776</v>
      </c>
      <c r="B402" s="21">
        <v>9.85</v>
      </c>
      <c r="C402" s="238">
        <f t="shared" si="14"/>
        <v>28764</v>
      </c>
      <c r="D402" s="238">
        <v>37987</v>
      </c>
      <c r="E402" t="str">
        <f>TEXT(D402,"YYYY-MM-DD")</f>
        <v>2004-01-01</v>
      </c>
      <c r="F402" s="237">
        <f>AVERAGEIFS(B:B,C:C,D402)/100</f>
        <v>5.7125000000000002E-2</v>
      </c>
      <c r="G402" t="str">
        <f t="shared" si="13"/>
        <v>('2004-01-01',0.057125),</v>
      </c>
    </row>
    <row r="403" spans="1:7" ht="16.2" x14ac:dyDescent="0.35">
      <c r="A403" s="20">
        <v>28783</v>
      </c>
      <c r="B403" s="21">
        <v>9.85</v>
      </c>
      <c r="C403" s="238">
        <f t="shared" si="14"/>
        <v>28764</v>
      </c>
      <c r="D403" s="238">
        <v>38018</v>
      </c>
      <c r="E403" t="str">
        <f>TEXT(D403,"YYYY-MM-DD")</f>
        <v>2004-02-01</v>
      </c>
      <c r="F403" s="237">
        <f>AVERAGEIFS(B:B,C:C,D403)/100</f>
        <v>5.6349999999999997E-2</v>
      </c>
      <c r="G403" t="str">
        <f t="shared" si="13"/>
        <v>('2004-02-01',0.05635),</v>
      </c>
    </row>
    <row r="404" spans="1:7" ht="16.2" x14ac:dyDescent="0.35">
      <c r="A404" s="20">
        <v>28790</v>
      </c>
      <c r="B404" s="21">
        <v>9.8800000000000008</v>
      </c>
      <c r="C404" s="238">
        <f t="shared" si="14"/>
        <v>28764</v>
      </c>
      <c r="D404" s="238">
        <v>38047</v>
      </c>
      <c r="E404" t="str">
        <f>TEXT(D404,"YYYY-MM-DD")</f>
        <v>2004-03-01</v>
      </c>
      <c r="F404" s="237">
        <f>AVERAGEIFS(B:B,C:C,D404)/100</f>
        <v>5.4450000000000005E-2</v>
      </c>
      <c r="G404" t="str">
        <f t="shared" si="13"/>
        <v>('2004-03-01',0.05445),</v>
      </c>
    </row>
    <row r="405" spans="1:7" ht="16.2" x14ac:dyDescent="0.35">
      <c r="A405" s="20">
        <v>28797</v>
      </c>
      <c r="B405" s="21">
        <v>9.9</v>
      </c>
      <c r="C405" s="238">
        <f t="shared" si="14"/>
        <v>28795</v>
      </c>
      <c r="D405" s="238">
        <v>38078</v>
      </c>
      <c r="E405" t="str">
        <f>TEXT(D405,"YYYY-MM-DD")</f>
        <v>2004-04-01</v>
      </c>
      <c r="F405" s="237">
        <f>AVERAGEIFS(B:B,C:C,D405)/100</f>
        <v>5.8299999999999998E-2</v>
      </c>
      <c r="G405" t="str">
        <f t="shared" si="13"/>
        <v>('2004-04-01',0.0583),</v>
      </c>
    </row>
    <row r="406" spans="1:7" ht="16.2" x14ac:dyDescent="0.35">
      <c r="A406" s="20">
        <v>28804</v>
      </c>
      <c r="B406" s="21">
        <v>10.050000000000001</v>
      </c>
      <c r="C406" s="238">
        <f t="shared" si="14"/>
        <v>28795</v>
      </c>
      <c r="D406" s="238">
        <v>38108</v>
      </c>
      <c r="E406" t="str">
        <f>TEXT(D406,"YYYY-MM-DD")</f>
        <v>2004-05-01</v>
      </c>
      <c r="F406" s="237">
        <f>AVERAGEIFS(B:B,C:C,D406)/100</f>
        <v>6.2700000000000006E-2</v>
      </c>
      <c r="G406" t="str">
        <f t="shared" si="13"/>
        <v>('2004-05-01',0.0627),</v>
      </c>
    </row>
    <row r="407" spans="1:7" ht="16.2" x14ac:dyDescent="0.35">
      <c r="A407" s="20">
        <v>28811</v>
      </c>
      <c r="B407" s="21">
        <v>10.199999999999999</v>
      </c>
      <c r="C407" s="238">
        <f t="shared" si="14"/>
        <v>28795</v>
      </c>
      <c r="D407" s="238">
        <v>38139</v>
      </c>
      <c r="E407" t="str">
        <f>TEXT(D407,"YYYY-MM-DD")</f>
        <v>2004-06-01</v>
      </c>
      <c r="F407" s="237">
        <f>AVERAGEIFS(B:B,C:C,D407)/100</f>
        <v>6.2875E-2</v>
      </c>
      <c r="G407" t="str">
        <f t="shared" si="13"/>
        <v>('2004-06-01',0.062875),</v>
      </c>
    </row>
    <row r="408" spans="1:7" ht="16.2" x14ac:dyDescent="0.35">
      <c r="A408" s="20">
        <v>28818</v>
      </c>
      <c r="B408" s="21">
        <v>10.28</v>
      </c>
      <c r="C408" s="238">
        <f t="shared" si="14"/>
        <v>28795</v>
      </c>
      <c r="D408" s="238">
        <v>38169</v>
      </c>
      <c r="E408" t="str">
        <f>TEXT(D408,"YYYY-MM-DD")</f>
        <v>2004-07-01</v>
      </c>
      <c r="F408" s="237">
        <f>AVERAGEIFS(B:B,C:C,D408)/100</f>
        <v>6.0560000000000003E-2</v>
      </c>
      <c r="G408" t="str">
        <f t="shared" si="13"/>
        <v>('2004-07-01',0.06056),</v>
      </c>
    </row>
    <row r="409" spans="1:7" ht="16.2" x14ac:dyDescent="0.35">
      <c r="A409" s="20">
        <v>28825</v>
      </c>
      <c r="B409" s="21">
        <v>10.3</v>
      </c>
      <c r="C409" s="238">
        <f t="shared" si="14"/>
        <v>28825</v>
      </c>
      <c r="D409" s="238">
        <v>38200</v>
      </c>
      <c r="E409" t="str">
        <f>TEXT(D409,"YYYY-MM-DD")</f>
        <v>2004-08-01</v>
      </c>
      <c r="F409" s="237">
        <f>AVERAGEIFS(B:B,C:C,D409)/100</f>
        <v>5.8674999999999998E-2</v>
      </c>
      <c r="G409" t="str">
        <f t="shared" si="13"/>
        <v>('2004-08-01',0.058675),</v>
      </c>
    </row>
    <row r="410" spans="1:7" ht="16.2" x14ac:dyDescent="0.35">
      <c r="A410" s="20">
        <v>28832</v>
      </c>
      <c r="B410" s="21">
        <v>10.35</v>
      </c>
      <c r="C410" s="238">
        <f t="shared" si="14"/>
        <v>28825</v>
      </c>
      <c r="D410" s="238">
        <v>38231</v>
      </c>
      <c r="E410" t="str">
        <f>TEXT(D410,"YYYY-MM-DD")</f>
        <v>2004-09-01</v>
      </c>
      <c r="F410" s="237">
        <f>AVERAGEIFS(B:B,C:C,D410)/100</f>
        <v>5.7539999999999994E-2</v>
      </c>
      <c r="G410" t="str">
        <f t="shared" si="13"/>
        <v>('2004-09-01',0.05754),</v>
      </c>
    </row>
    <row r="411" spans="1:7" ht="16.2" x14ac:dyDescent="0.35">
      <c r="A411" s="20">
        <v>28839</v>
      </c>
      <c r="B411" s="21">
        <v>10.35</v>
      </c>
      <c r="C411" s="238">
        <f t="shared" si="14"/>
        <v>28825</v>
      </c>
      <c r="D411" s="238">
        <v>38261</v>
      </c>
      <c r="E411" t="str">
        <f>TEXT(D411,"YYYY-MM-DD")</f>
        <v>2004-10-01</v>
      </c>
      <c r="F411" s="237">
        <f>AVERAGEIFS(B:B,C:C,D411)/100</f>
        <v>5.7224999999999998E-2</v>
      </c>
      <c r="G411" t="str">
        <f t="shared" si="13"/>
        <v>('2004-10-01',0.057225),</v>
      </c>
    </row>
    <row r="412" spans="1:7" ht="16.2" x14ac:dyDescent="0.35">
      <c r="A412" s="20">
        <v>28846</v>
      </c>
      <c r="B412" s="21">
        <v>10.35</v>
      </c>
      <c r="C412" s="238">
        <f t="shared" si="14"/>
        <v>28825</v>
      </c>
      <c r="D412" s="238">
        <v>38292</v>
      </c>
      <c r="E412" t="str">
        <f>TEXT(D412,"YYYY-MM-DD")</f>
        <v>2004-11-01</v>
      </c>
      <c r="F412" s="237">
        <f>AVERAGEIFS(B:B,C:C,D412)/100</f>
        <v>5.7300000000000004E-2</v>
      </c>
      <c r="G412" t="str">
        <f t="shared" si="13"/>
        <v>('2004-11-01',0.0573),</v>
      </c>
    </row>
    <row r="413" spans="1:7" ht="16.2" x14ac:dyDescent="0.35">
      <c r="A413" s="20">
        <v>28853</v>
      </c>
      <c r="B413" s="21">
        <v>10.38</v>
      </c>
      <c r="C413" s="238">
        <f t="shared" si="14"/>
        <v>28825</v>
      </c>
      <c r="D413" s="238">
        <v>38322</v>
      </c>
      <c r="E413" t="str">
        <f>TEXT(D413,"YYYY-MM-DD")</f>
        <v>2004-12-01</v>
      </c>
      <c r="F413" s="237">
        <f>AVERAGEIFS(B:B,C:C,D413)/100</f>
        <v>5.7519999999999995E-2</v>
      </c>
      <c r="G413" t="str">
        <f t="shared" si="13"/>
        <v>('2004-12-01',0.05752),</v>
      </c>
    </row>
    <row r="414" spans="1:7" ht="16.2" x14ac:dyDescent="0.35">
      <c r="A414" s="20">
        <v>28860</v>
      </c>
      <c r="B414" s="21">
        <v>10.38</v>
      </c>
      <c r="C414" s="238">
        <f t="shared" si="14"/>
        <v>28856</v>
      </c>
      <c r="D414" s="238">
        <v>38353</v>
      </c>
      <c r="E414" t="str">
        <f>TEXT(D414,"YYYY-MM-DD")</f>
        <v>2005-01-01</v>
      </c>
      <c r="F414" s="237">
        <f>AVERAGEIFS(B:B,C:C,D414)/100</f>
        <v>5.7099999999999998E-2</v>
      </c>
      <c r="G414" t="str">
        <f t="shared" si="13"/>
        <v>('2005-01-01',0.0571),</v>
      </c>
    </row>
    <row r="415" spans="1:7" ht="16.2" x14ac:dyDescent="0.35">
      <c r="A415" s="20">
        <v>28867</v>
      </c>
      <c r="B415" s="21">
        <v>10.38</v>
      </c>
      <c r="C415" s="238">
        <f t="shared" si="14"/>
        <v>28856</v>
      </c>
      <c r="D415" s="238">
        <v>38384</v>
      </c>
      <c r="E415" t="str">
        <f>TEXT(D415,"YYYY-MM-DD")</f>
        <v>2005-02-01</v>
      </c>
      <c r="F415" s="237">
        <f>AVERAGEIFS(B:B,C:C,D415)/100</f>
        <v>5.6275000000000006E-2</v>
      </c>
      <c r="G415" t="str">
        <f t="shared" si="13"/>
        <v>('2005-02-01',0.056275),</v>
      </c>
    </row>
    <row r="416" spans="1:7" ht="16.2" x14ac:dyDescent="0.35">
      <c r="A416" s="20">
        <v>28874</v>
      </c>
      <c r="B416" s="21">
        <v>10.4</v>
      </c>
      <c r="C416" s="238">
        <f t="shared" si="14"/>
        <v>28856</v>
      </c>
      <c r="D416" s="238">
        <v>38412</v>
      </c>
      <c r="E416" t="str">
        <f>TEXT(D416,"YYYY-MM-DD")</f>
        <v>2005-03-01</v>
      </c>
      <c r="F416" s="237">
        <f>AVERAGEIFS(B:B,C:C,D416)/100</f>
        <v>5.9279999999999999E-2</v>
      </c>
      <c r="G416" t="str">
        <f t="shared" si="13"/>
        <v>('2005-03-01',0.05928),</v>
      </c>
    </row>
    <row r="417" spans="1:7" ht="16.2" x14ac:dyDescent="0.35">
      <c r="A417" s="20">
        <v>28881</v>
      </c>
      <c r="B417" s="21">
        <v>10.4</v>
      </c>
      <c r="C417" s="238">
        <f t="shared" si="14"/>
        <v>28856</v>
      </c>
      <c r="D417" s="238">
        <v>38443</v>
      </c>
      <c r="E417" t="str">
        <f>TEXT(D417,"YYYY-MM-DD")</f>
        <v>2005-04-01</v>
      </c>
      <c r="F417" s="237">
        <f>AVERAGEIFS(B:B,C:C,D417)/100</f>
        <v>5.8550000000000005E-2</v>
      </c>
      <c r="G417" t="str">
        <f t="shared" si="13"/>
        <v>('2005-04-01',0.05855),</v>
      </c>
    </row>
    <row r="418" spans="1:7" ht="16.2" x14ac:dyDescent="0.35">
      <c r="A418" s="20">
        <v>28888</v>
      </c>
      <c r="B418" s="21">
        <v>10.4</v>
      </c>
      <c r="C418" s="238">
        <f t="shared" si="14"/>
        <v>28887</v>
      </c>
      <c r="D418" s="238">
        <v>38473</v>
      </c>
      <c r="E418" t="str">
        <f>TEXT(D418,"YYYY-MM-DD")</f>
        <v>2005-05-01</v>
      </c>
      <c r="F418" s="237">
        <f>AVERAGEIFS(B:B,C:C,D418)/100</f>
        <v>5.7200000000000008E-2</v>
      </c>
      <c r="G418" t="str">
        <f t="shared" si="13"/>
        <v>('2005-05-01',0.0572),</v>
      </c>
    </row>
    <row r="419" spans="1:7" ht="16.2" x14ac:dyDescent="0.35">
      <c r="A419" s="20">
        <v>28895</v>
      </c>
      <c r="B419" s="21">
        <v>10.43</v>
      </c>
      <c r="C419" s="238">
        <f t="shared" si="14"/>
        <v>28887</v>
      </c>
      <c r="D419" s="238">
        <v>38504</v>
      </c>
      <c r="E419" t="str">
        <f>TEXT(D419,"YYYY-MM-DD")</f>
        <v>2005-06-01</v>
      </c>
      <c r="F419" s="237">
        <f>AVERAGEIFS(B:B,C:C,D419)/100</f>
        <v>5.5820000000000002E-2</v>
      </c>
      <c r="G419" t="str">
        <f t="shared" si="13"/>
        <v>('2005-06-01',0.05582),</v>
      </c>
    </row>
    <row r="420" spans="1:7" ht="16.2" x14ac:dyDescent="0.35">
      <c r="A420" s="20">
        <v>28902</v>
      </c>
      <c r="B420" s="21">
        <v>10.4</v>
      </c>
      <c r="C420" s="238">
        <f t="shared" si="14"/>
        <v>28887</v>
      </c>
      <c r="D420" s="238">
        <v>38534</v>
      </c>
      <c r="E420" t="str">
        <f>TEXT(D420,"YYYY-MM-DD")</f>
        <v>2005-07-01</v>
      </c>
      <c r="F420" s="237">
        <f>AVERAGEIFS(B:B,C:C,D420)/100</f>
        <v>5.6950000000000001E-2</v>
      </c>
      <c r="G420" t="str">
        <f t="shared" si="13"/>
        <v>('2005-07-01',0.05695),</v>
      </c>
    </row>
    <row r="421" spans="1:7" ht="16.2" x14ac:dyDescent="0.35">
      <c r="A421" s="20">
        <v>28909</v>
      </c>
      <c r="B421" s="21">
        <v>10.4</v>
      </c>
      <c r="C421" s="238">
        <f t="shared" si="14"/>
        <v>28887</v>
      </c>
      <c r="D421" s="238">
        <v>38565</v>
      </c>
      <c r="E421" t="str">
        <f>TEXT(D421,"YYYY-MM-DD")</f>
        <v>2005-08-01</v>
      </c>
      <c r="F421" s="237">
        <f>AVERAGEIFS(B:B,C:C,D421)/100</f>
        <v>5.8200000000000002E-2</v>
      </c>
      <c r="G421" t="str">
        <f t="shared" si="13"/>
        <v>('2005-08-01',0.0582),</v>
      </c>
    </row>
    <row r="422" spans="1:7" ht="16.2" x14ac:dyDescent="0.35">
      <c r="A422" s="20">
        <v>28916</v>
      </c>
      <c r="B422" s="21">
        <v>10.43</v>
      </c>
      <c r="C422" s="238">
        <f t="shared" si="14"/>
        <v>28915</v>
      </c>
      <c r="D422" s="238">
        <v>38596</v>
      </c>
      <c r="E422" t="str">
        <f>TEXT(D422,"YYYY-MM-DD")</f>
        <v>2005-09-01</v>
      </c>
      <c r="F422" s="237">
        <f>AVERAGEIFS(B:B,C:C,D422)/100</f>
        <v>5.774E-2</v>
      </c>
      <c r="G422" t="str">
        <f t="shared" si="13"/>
        <v>('2005-09-01',0.05774),</v>
      </c>
    </row>
    <row r="423" spans="1:7" ht="16.2" x14ac:dyDescent="0.35">
      <c r="A423" s="20">
        <v>28923</v>
      </c>
      <c r="B423" s="21">
        <v>10.4</v>
      </c>
      <c r="C423" s="238">
        <f t="shared" si="14"/>
        <v>28915</v>
      </c>
      <c r="D423" s="238">
        <v>38626</v>
      </c>
      <c r="E423" t="str">
        <f>TEXT(D423,"YYYY-MM-DD")</f>
        <v>2005-10-01</v>
      </c>
      <c r="F423" s="237">
        <f>AVERAGEIFS(B:B,C:C,D423)/100</f>
        <v>6.0649999999999996E-2</v>
      </c>
      <c r="G423" t="str">
        <f t="shared" si="13"/>
        <v>('2005-10-01',0.06065),</v>
      </c>
    </row>
    <row r="424" spans="1:7" ht="16.2" x14ac:dyDescent="0.35">
      <c r="A424" s="20">
        <v>28930</v>
      </c>
      <c r="B424" s="21">
        <v>10.4</v>
      </c>
      <c r="C424" s="238">
        <f t="shared" si="14"/>
        <v>28915</v>
      </c>
      <c r="D424" s="238">
        <v>38657</v>
      </c>
      <c r="E424" t="str">
        <f>TEXT(D424,"YYYY-MM-DD")</f>
        <v>2005-11-01</v>
      </c>
      <c r="F424" s="237">
        <f>AVERAGEIFS(B:B,C:C,D424)/100</f>
        <v>6.3299999999999995E-2</v>
      </c>
      <c r="G424" t="str">
        <f t="shared" si="13"/>
        <v>('2005-11-01',0.0633),</v>
      </c>
    </row>
    <row r="425" spans="1:7" ht="16.2" x14ac:dyDescent="0.35">
      <c r="A425" s="20">
        <v>28937</v>
      </c>
      <c r="B425" s="21">
        <v>10.45</v>
      </c>
      <c r="C425" s="238">
        <f t="shared" si="14"/>
        <v>28915</v>
      </c>
      <c r="D425" s="238">
        <v>38687</v>
      </c>
      <c r="E425" t="str">
        <f>TEXT(D425,"YYYY-MM-DD")</f>
        <v>2005-12-01</v>
      </c>
      <c r="F425" s="237">
        <f>AVERAGEIFS(B:B,C:C,D425)/100</f>
        <v>6.2719999999999998E-2</v>
      </c>
      <c r="G425" t="str">
        <f t="shared" si="13"/>
        <v>('2005-12-01',0.06272),</v>
      </c>
    </row>
    <row r="426" spans="1:7" ht="16.2" x14ac:dyDescent="0.35">
      <c r="A426" s="20">
        <v>28944</v>
      </c>
      <c r="B426" s="21">
        <v>10.45</v>
      </c>
      <c r="C426" s="238">
        <f t="shared" si="14"/>
        <v>28915</v>
      </c>
      <c r="D426" s="238">
        <v>38718</v>
      </c>
      <c r="E426" t="str">
        <f>TEXT(D426,"YYYY-MM-DD")</f>
        <v>2006-01-01</v>
      </c>
      <c r="F426" s="237">
        <f>AVERAGEIFS(B:B,C:C,D426)/100</f>
        <v>6.1450000000000005E-2</v>
      </c>
      <c r="G426" t="str">
        <f t="shared" si="13"/>
        <v>('2006-01-01',0.06145),</v>
      </c>
    </row>
    <row r="427" spans="1:7" ht="16.2" x14ac:dyDescent="0.35">
      <c r="A427" s="20">
        <v>28951</v>
      </c>
      <c r="B427" s="21">
        <v>10.48</v>
      </c>
      <c r="C427" s="238">
        <f t="shared" si="14"/>
        <v>28946</v>
      </c>
      <c r="D427" s="238">
        <v>38749</v>
      </c>
      <c r="E427" t="str">
        <f>TEXT(D427,"YYYY-MM-DD")</f>
        <v>2006-02-01</v>
      </c>
      <c r="F427" s="237">
        <f>AVERAGEIFS(B:B,C:C,D427)/100</f>
        <v>6.2524999999999997E-2</v>
      </c>
      <c r="G427" t="str">
        <f t="shared" si="13"/>
        <v>('2006-02-01',0.062525),</v>
      </c>
    </row>
    <row r="428" spans="1:7" ht="16.2" x14ac:dyDescent="0.35">
      <c r="A428" s="20">
        <v>28958</v>
      </c>
      <c r="B428" s="21">
        <v>10.48</v>
      </c>
      <c r="C428" s="238">
        <f t="shared" si="14"/>
        <v>28946</v>
      </c>
      <c r="D428" s="238">
        <v>38777</v>
      </c>
      <c r="E428" t="str">
        <f>TEXT(D428,"YYYY-MM-DD")</f>
        <v>2006-03-01</v>
      </c>
      <c r="F428" s="237">
        <f>AVERAGEIFS(B:B,C:C,D428)/100</f>
        <v>6.3240000000000005E-2</v>
      </c>
      <c r="G428" t="str">
        <f t="shared" si="13"/>
        <v>('2006-03-01',0.06324),</v>
      </c>
    </row>
    <row r="429" spans="1:7" ht="16.2" x14ac:dyDescent="0.35">
      <c r="A429" s="20">
        <v>28965</v>
      </c>
      <c r="B429" s="21">
        <v>10.5</v>
      </c>
      <c r="C429" s="238">
        <f t="shared" si="14"/>
        <v>28946</v>
      </c>
      <c r="D429" s="238">
        <v>38808</v>
      </c>
      <c r="E429" t="str">
        <f>TEXT(D429,"YYYY-MM-DD")</f>
        <v>2006-04-01</v>
      </c>
      <c r="F429" s="237">
        <f>AVERAGEIFS(B:B,C:C,D429)/100</f>
        <v>6.5075000000000008E-2</v>
      </c>
      <c r="G429" t="str">
        <f t="shared" si="13"/>
        <v>('2006-04-01',0.065075),</v>
      </c>
    </row>
    <row r="430" spans="1:7" ht="16.2" x14ac:dyDescent="0.35">
      <c r="A430" s="20">
        <v>28972</v>
      </c>
      <c r="B430" s="21">
        <v>10.53</v>
      </c>
      <c r="C430" s="238">
        <f t="shared" si="14"/>
        <v>28946</v>
      </c>
      <c r="D430" s="238">
        <v>38838</v>
      </c>
      <c r="E430" t="str">
        <f>TEXT(D430,"YYYY-MM-DD")</f>
        <v>2006-05-01</v>
      </c>
      <c r="F430" s="237">
        <f>AVERAGEIFS(B:B,C:C,D430)/100</f>
        <v>6.5975000000000006E-2</v>
      </c>
      <c r="G430" t="str">
        <f t="shared" si="13"/>
        <v>('2006-05-01',0.065975),</v>
      </c>
    </row>
    <row r="431" spans="1:7" ht="16.2" x14ac:dyDescent="0.35">
      <c r="A431" s="20">
        <v>28979</v>
      </c>
      <c r="B431" s="21">
        <v>10.6</v>
      </c>
      <c r="C431" s="238">
        <f t="shared" si="14"/>
        <v>28976</v>
      </c>
      <c r="D431" s="238">
        <v>38869</v>
      </c>
      <c r="E431" t="str">
        <f>TEXT(D431,"YYYY-MM-DD")</f>
        <v>2006-06-01</v>
      </c>
      <c r="F431" s="237">
        <f>AVERAGEIFS(B:B,C:C,D431)/100</f>
        <v>6.6819999999999991E-2</v>
      </c>
      <c r="G431" t="str">
        <f t="shared" si="13"/>
        <v>('2006-06-01',0.06682),</v>
      </c>
    </row>
    <row r="432" spans="1:7" ht="16.2" x14ac:dyDescent="0.35">
      <c r="A432" s="20">
        <v>28986</v>
      </c>
      <c r="B432" s="21">
        <v>10.68</v>
      </c>
      <c r="C432" s="238">
        <f t="shared" si="14"/>
        <v>28976</v>
      </c>
      <c r="D432" s="238">
        <v>38899</v>
      </c>
      <c r="E432" t="str">
        <f>TEXT(D432,"YYYY-MM-DD")</f>
        <v>2006-07-01</v>
      </c>
      <c r="F432" s="237">
        <f>AVERAGEIFS(B:B,C:C,D432)/100</f>
        <v>6.7625000000000005E-2</v>
      </c>
      <c r="G432" t="str">
        <f t="shared" si="13"/>
        <v>('2006-07-01',0.067625),</v>
      </c>
    </row>
    <row r="433" spans="1:7" ht="16.2" x14ac:dyDescent="0.35">
      <c r="A433" s="20">
        <v>28993</v>
      </c>
      <c r="B433" s="21">
        <v>10.73</v>
      </c>
      <c r="C433" s="238">
        <f t="shared" si="14"/>
        <v>28976</v>
      </c>
      <c r="D433" s="238">
        <v>38930</v>
      </c>
      <c r="E433" t="str">
        <f>TEXT(D433,"YYYY-MM-DD")</f>
        <v>2006-08-01</v>
      </c>
      <c r="F433" s="237">
        <f>AVERAGEIFS(B:B,C:C,D433)/100</f>
        <v>6.5239999999999992E-2</v>
      </c>
      <c r="G433" t="str">
        <f t="shared" si="13"/>
        <v>('2006-08-01',0.06524),</v>
      </c>
    </row>
    <row r="434" spans="1:7" ht="16.2" x14ac:dyDescent="0.35">
      <c r="A434" s="20">
        <v>29000</v>
      </c>
      <c r="B434" s="21">
        <v>10.75</v>
      </c>
      <c r="C434" s="238">
        <f t="shared" si="14"/>
        <v>28976</v>
      </c>
      <c r="D434" s="238">
        <v>38961</v>
      </c>
      <c r="E434" t="str">
        <f>TEXT(D434,"YYYY-MM-DD")</f>
        <v>2006-09-01</v>
      </c>
      <c r="F434" s="237">
        <f>AVERAGEIFS(B:B,C:C,D434)/100</f>
        <v>6.4024999999999985E-2</v>
      </c>
      <c r="G434" t="str">
        <f t="shared" si="13"/>
        <v>('2006-09-01',0.064025),</v>
      </c>
    </row>
    <row r="435" spans="1:7" ht="16.2" x14ac:dyDescent="0.35">
      <c r="A435" s="20">
        <v>29007</v>
      </c>
      <c r="B435" s="21">
        <v>10.9</v>
      </c>
      <c r="C435" s="238">
        <f t="shared" si="14"/>
        <v>29007</v>
      </c>
      <c r="D435" s="238">
        <v>38991</v>
      </c>
      <c r="E435" t="str">
        <f>TEXT(D435,"YYYY-MM-DD")</f>
        <v>2006-10-01</v>
      </c>
      <c r="F435" s="237">
        <f>AVERAGEIFS(B:B,C:C,D435)/100</f>
        <v>6.3574999999999993E-2</v>
      </c>
      <c r="G435" t="str">
        <f t="shared" si="13"/>
        <v>('2006-10-01',0.063575),</v>
      </c>
    </row>
    <row r="436" spans="1:7" ht="16.2" x14ac:dyDescent="0.35">
      <c r="A436" s="20">
        <v>29014</v>
      </c>
      <c r="B436" s="21">
        <v>11.03</v>
      </c>
      <c r="C436" s="238">
        <f t="shared" si="14"/>
        <v>29007</v>
      </c>
      <c r="D436" s="238">
        <v>39022</v>
      </c>
      <c r="E436" t="str">
        <f>TEXT(D436,"YYYY-MM-DD")</f>
        <v>2006-11-01</v>
      </c>
      <c r="F436" s="237">
        <f>AVERAGEIFS(B:B,C:C,D436)/100</f>
        <v>6.2400000000000004E-2</v>
      </c>
      <c r="G436" t="str">
        <f t="shared" si="13"/>
        <v>('2006-11-01',0.0624),</v>
      </c>
    </row>
    <row r="437" spans="1:7" ht="16.2" x14ac:dyDescent="0.35">
      <c r="A437" s="20">
        <v>29021</v>
      </c>
      <c r="B437" s="21">
        <v>11.05</v>
      </c>
      <c r="C437" s="238">
        <f t="shared" si="14"/>
        <v>29007</v>
      </c>
      <c r="D437" s="238">
        <v>39052</v>
      </c>
      <c r="E437" t="str">
        <f>TEXT(D437,"YYYY-MM-DD")</f>
        <v>2006-12-01</v>
      </c>
      <c r="F437" s="237">
        <f>AVERAGEIFS(B:B,C:C,D437)/100</f>
        <v>6.1349999999999995E-2</v>
      </c>
      <c r="G437" t="str">
        <f t="shared" si="13"/>
        <v>('2006-12-01',0.06135),</v>
      </c>
    </row>
    <row r="438" spans="1:7" ht="16.2" x14ac:dyDescent="0.35">
      <c r="A438" s="20">
        <v>29028</v>
      </c>
      <c r="B438" s="21">
        <v>11.1</v>
      </c>
      <c r="C438" s="238">
        <f t="shared" si="14"/>
        <v>29007</v>
      </c>
      <c r="D438" s="238">
        <v>39083</v>
      </c>
      <c r="E438" t="str">
        <f>TEXT(D438,"YYYY-MM-DD")</f>
        <v>2007-01-01</v>
      </c>
      <c r="F438" s="237">
        <f>AVERAGEIFS(B:B,C:C,D438)/100</f>
        <v>6.2175000000000001E-2</v>
      </c>
      <c r="G438" t="str">
        <f t="shared" si="13"/>
        <v>('2007-01-01',0.062175),</v>
      </c>
    </row>
    <row r="439" spans="1:7" ht="16.2" x14ac:dyDescent="0.35">
      <c r="A439" s="20">
        <v>29035</v>
      </c>
      <c r="B439" s="21">
        <v>11.1</v>
      </c>
      <c r="C439" s="238">
        <f t="shared" si="14"/>
        <v>29007</v>
      </c>
      <c r="D439" s="238">
        <v>39114</v>
      </c>
      <c r="E439" t="str">
        <f>TEXT(D439,"YYYY-MM-DD")</f>
        <v>2007-02-01</v>
      </c>
      <c r="F439" s="237">
        <f>AVERAGEIFS(B:B,C:C,D439)/100</f>
        <v>6.2850000000000003E-2</v>
      </c>
      <c r="G439" t="str">
        <f t="shared" si="13"/>
        <v>('2007-02-01',0.06285),</v>
      </c>
    </row>
    <row r="440" spans="1:7" ht="16.2" x14ac:dyDescent="0.35">
      <c r="A440" s="20">
        <v>29042</v>
      </c>
      <c r="B440" s="21">
        <v>11.13</v>
      </c>
      <c r="C440" s="238">
        <f t="shared" si="14"/>
        <v>29037</v>
      </c>
      <c r="D440" s="238">
        <v>39142</v>
      </c>
      <c r="E440" t="str">
        <f>TEXT(D440,"YYYY-MM-DD")</f>
        <v>2007-03-01</v>
      </c>
      <c r="F440" s="237">
        <f>AVERAGEIFS(B:B,C:C,D440)/100</f>
        <v>6.1560000000000004E-2</v>
      </c>
      <c r="G440" t="str">
        <f t="shared" si="13"/>
        <v>('2007-03-01',0.06156),</v>
      </c>
    </row>
    <row r="441" spans="1:7" ht="16.2" x14ac:dyDescent="0.35">
      <c r="A441" s="20">
        <v>29049</v>
      </c>
      <c r="B441" s="21">
        <v>11.08</v>
      </c>
      <c r="C441" s="238">
        <f t="shared" si="14"/>
        <v>29037</v>
      </c>
      <c r="D441" s="238">
        <v>39173</v>
      </c>
      <c r="E441" t="str">
        <f>TEXT(D441,"YYYY-MM-DD")</f>
        <v>2007-04-01</v>
      </c>
      <c r="F441" s="237">
        <f>AVERAGEIFS(B:B,C:C,D441)/100</f>
        <v>6.1800000000000008E-2</v>
      </c>
      <c r="G441" t="str">
        <f t="shared" si="13"/>
        <v>('2007-04-01',0.0618),</v>
      </c>
    </row>
    <row r="442" spans="1:7" ht="16.2" x14ac:dyDescent="0.35">
      <c r="A442" s="20">
        <v>29056</v>
      </c>
      <c r="B442" s="21">
        <v>11.08</v>
      </c>
      <c r="C442" s="238">
        <f t="shared" si="14"/>
        <v>29037</v>
      </c>
      <c r="D442" s="238">
        <v>39203</v>
      </c>
      <c r="E442" t="str">
        <f>TEXT(D442,"YYYY-MM-DD")</f>
        <v>2007-05-01</v>
      </c>
      <c r="F442" s="237">
        <f>AVERAGEIFS(B:B,C:C,D442)/100</f>
        <v>6.2620000000000009E-2</v>
      </c>
      <c r="G442" t="str">
        <f t="shared" si="13"/>
        <v>('2007-05-01',0.06262),</v>
      </c>
    </row>
    <row r="443" spans="1:7" ht="16.2" x14ac:dyDescent="0.35">
      <c r="A443" s="20">
        <v>29063</v>
      </c>
      <c r="B443" s="21">
        <v>11.08</v>
      </c>
      <c r="C443" s="238">
        <f t="shared" si="14"/>
        <v>29037</v>
      </c>
      <c r="D443" s="238">
        <v>39234</v>
      </c>
      <c r="E443" t="str">
        <f>TEXT(D443,"YYYY-MM-DD")</f>
        <v>2007-06-01</v>
      </c>
      <c r="F443" s="237">
        <f>AVERAGEIFS(B:B,C:C,D443)/100</f>
        <v>6.6575000000000009E-2</v>
      </c>
      <c r="G443" t="str">
        <f t="shared" si="13"/>
        <v>('2007-06-01',0.066575),</v>
      </c>
    </row>
    <row r="444" spans="1:7" ht="16.2" x14ac:dyDescent="0.35">
      <c r="A444" s="20">
        <v>29070</v>
      </c>
      <c r="B444" s="21">
        <v>11.08</v>
      </c>
      <c r="C444" s="238">
        <f t="shared" si="14"/>
        <v>29068</v>
      </c>
      <c r="D444" s="238">
        <v>39264</v>
      </c>
      <c r="E444" t="str">
        <f>TEXT(D444,"YYYY-MM-DD")</f>
        <v>2007-07-01</v>
      </c>
      <c r="F444" s="237">
        <f>AVERAGEIFS(B:B,C:C,D444)/100</f>
        <v>6.695000000000001E-2</v>
      </c>
      <c r="G444" t="str">
        <f t="shared" si="13"/>
        <v>('2007-07-01',0.06695),</v>
      </c>
    </row>
    <row r="445" spans="1:7" ht="16.2" x14ac:dyDescent="0.35">
      <c r="A445" s="20">
        <v>29077</v>
      </c>
      <c r="B445" s="21">
        <v>11.08</v>
      </c>
      <c r="C445" s="238">
        <f t="shared" si="14"/>
        <v>29068</v>
      </c>
      <c r="D445" s="238">
        <v>39295</v>
      </c>
      <c r="E445" t="str">
        <f>TEXT(D445,"YYYY-MM-DD")</f>
        <v>2007-08-01</v>
      </c>
      <c r="F445" s="237">
        <f>AVERAGEIFS(B:B,C:C,D445)/100</f>
        <v>6.5720000000000001E-2</v>
      </c>
      <c r="G445" t="str">
        <f t="shared" si="13"/>
        <v>('2007-08-01',0.06572),</v>
      </c>
    </row>
    <row r="446" spans="1:7" ht="16.2" x14ac:dyDescent="0.35">
      <c r="A446" s="20">
        <v>29084</v>
      </c>
      <c r="B446" s="21">
        <v>11.08</v>
      </c>
      <c r="C446" s="238">
        <f t="shared" si="14"/>
        <v>29068</v>
      </c>
      <c r="D446" s="238">
        <v>39326</v>
      </c>
      <c r="E446" t="str">
        <f>TEXT(D446,"YYYY-MM-DD")</f>
        <v>2007-09-01</v>
      </c>
      <c r="F446" s="237">
        <f>AVERAGEIFS(B:B,C:C,D446)/100</f>
        <v>6.3825000000000007E-2</v>
      </c>
      <c r="G446" t="str">
        <f t="shared" si="13"/>
        <v>('2007-09-01',0.063825),</v>
      </c>
    </row>
    <row r="447" spans="1:7" ht="16.2" x14ac:dyDescent="0.35">
      <c r="A447" s="20">
        <v>29091</v>
      </c>
      <c r="B447" s="21">
        <v>11.1</v>
      </c>
      <c r="C447" s="238">
        <f t="shared" si="14"/>
        <v>29068</v>
      </c>
      <c r="D447" s="238">
        <v>39356</v>
      </c>
      <c r="E447" t="str">
        <f>TEXT(D447,"YYYY-MM-DD")</f>
        <v>2007-10-01</v>
      </c>
      <c r="F447" s="237">
        <f>AVERAGEIFS(B:B,C:C,D447)/100</f>
        <v>6.3750000000000001E-2</v>
      </c>
      <c r="G447" t="str">
        <f t="shared" si="13"/>
        <v>('2007-10-01',0.06375),</v>
      </c>
    </row>
    <row r="448" spans="1:7" ht="16.2" x14ac:dyDescent="0.35">
      <c r="A448" s="20">
        <v>29098</v>
      </c>
      <c r="B448" s="21">
        <v>11.13</v>
      </c>
      <c r="C448" s="238">
        <f t="shared" si="14"/>
        <v>29068</v>
      </c>
      <c r="D448" s="238">
        <v>39387</v>
      </c>
      <c r="E448" t="str">
        <f>TEXT(D448,"YYYY-MM-DD")</f>
        <v>2007-11-01</v>
      </c>
      <c r="F448" s="237">
        <f>AVERAGEIFS(B:B,C:C,D448)/100</f>
        <v>6.2080000000000003E-2</v>
      </c>
      <c r="G448" t="str">
        <f t="shared" si="13"/>
        <v>('2007-11-01',0.06208),</v>
      </c>
    </row>
    <row r="449" spans="1:7" ht="16.2" x14ac:dyDescent="0.35">
      <c r="A449" s="20">
        <v>29105</v>
      </c>
      <c r="B449" s="21">
        <v>11.2</v>
      </c>
      <c r="C449" s="238">
        <f t="shared" si="14"/>
        <v>29099</v>
      </c>
      <c r="D449" s="238">
        <v>39417</v>
      </c>
      <c r="E449" t="str">
        <f>TEXT(D449,"YYYY-MM-DD")</f>
        <v>2007-12-01</v>
      </c>
      <c r="F449" s="237">
        <f>AVERAGEIFS(B:B,C:C,D449)/100</f>
        <v>6.0950000000000004E-2</v>
      </c>
      <c r="G449" t="str">
        <f t="shared" si="13"/>
        <v>('2007-12-01',0.06095),</v>
      </c>
    </row>
    <row r="450" spans="1:7" ht="16.2" x14ac:dyDescent="0.35">
      <c r="A450" s="20">
        <v>29112</v>
      </c>
      <c r="B450" s="21">
        <v>11.3</v>
      </c>
      <c r="C450" s="238">
        <f t="shared" si="14"/>
        <v>29099</v>
      </c>
      <c r="D450" s="238">
        <v>39448</v>
      </c>
      <c r="E450" t="str">
        <f>TEXT(D450,"YYYY-MM-DD")</f>
        <v>2008-01-01</v>
      </c>
      <c r="F450" s="237">
        <f>AVERAGEIFS(B:B,C:C,D450)/100</f>
        <v>5.7580000000000006E-2</v>
      </c>
      <c r="G450" t="str">
        <f t="shared" si="13"/>
        <v>('2008-01-01',0.05758),</v>
      </c>
    </row>
    <row r="451" spans="1:7" ht="16.2" x14ac:dyDescent="0.35">
      <c r="A451" s="20">
        <v>29119</v>
      </c>
      <c r="B451" s="21">
        <v>11.35</v>
      </c>
      <c r="C451" s="238">
        <f t="shared" si="14"/>
        <v>29099</v>
      </c>
      <c r="D451" s="238">
        <v>39479</v>
      </c>
      <c r="E451" t="str">
        <f>TEXT(D451,"YYYY-MM-DD")</f>
        <v>2008-02-01</v>
      </c>
      <c r="F451" s="237">
        <f>AVERAGEIFS(B:B,C:C,D451)/100</f>
        <v>5.9175000000000005E-2</v>
      </c>
      <c r="G451" t="str">
        <f t="shared" si="13"/>
        <v>('2008-02-01',0.059175),</v>
      </c>
    </row>
    <row r="452" spans="1:7" ht="16.2" x14ac:dyDescent="0.35">
      <c r="A452" s="20">
        <v>29126</v>
      </c>
      <c r="B452" s="21">
        <v>11.35</v>
      </c>
      <c r="C452" s="238">
        <f t="shared" si="14"/>
        <v>29099</v>
      </c>
      <c r="D452" s="238">
        <v>39508</v>
      </c>
      <c r="E452" t="str">
        <f>TEXT(D452,"YYYY-MM-DD")</f>
        <v>2008-03-01</v>
      </c>
      <c r="F452" s="237">
        <f>AVERAGEIFS(B:B,C:C,D452)/100</f>
        <v>5.9700000000000003E-2</v>
      </c>
      <c r="G452" t="str">
        <f t="shared" si="13"/>
        <v>('2008-03-01',0.0597),</v>
      </c>
    </row>
    <row r="453" spans="1:7" ht="16.2" x14ac:dyDescent="0.35">
      <c r="A453" s="20">
        <v>29133</v>
      </c>
      <c r="B453" s="21">
        <v>11.35</v>
      </c>
      <c r="C453" s="238">
        <f t="shared" si="14"/>
        <v>29129</v>
      </c>
      <c r="D453" s="238">
        <v>39539</v>
      </c>
      <c r="E453" t="str">
        <f>TEXT(D453,"YYYY-MM-DD")</f>
        <v>2008-04-01</v>
      </c>
      <c r="F453" s="237">
        <f>AVERAGEIFS(B:B,C:C,D453)/100</f>
        <v>5.9175000000000005E-2</v>
      </c>
      <c r="G453" t="str">
        <f t="shared" si="13"/>
        <v>('2008-04-01',0.059175),</v>
      </c>
    </row>
    <row r="454" spans="1:7" ht="16.2" x14ac:dyDescent="0.35">
      <c r="A454" s="20">
        <v>29140</v>
      </c>
      <c r="B454" s="21">
        <v>11.45</v>
      </c>
      <c r="C454" s="238">
        <f t="shared" si="14"/>
        <v>29129</v>
      </c>
      <c r="D454" s="238">
        <v>39569</v>
      </c>
      <c r="E454" t="str">
        <f>TEXT(D454,"YYYY-MM-DD")</f>
        <v>2008-05-01</v>
      </c>
      <c r="F454" s="237">
        <f>AVERAGEIFS(B:B,C:C,D454)/100</f>
        <v>6.0359999999999997E-2</v>
      </c>
      <c r="G454" t="str">
        <f t="shared" si="13"/>
        <v>('2008-05-01',0.06036),</v>
      </c>
    </row>
    <row r="455" spans="1:7" ht="16.2" x14ac:dyDescent="0.35">
      <c r="A455" s="20">
        <v>29147</v>
      </c>
      <c r="B455" s="21">
        <v>11.75</v>
      </c>
      <c r="C455" s="238">
        <f t="shared" si="14"/>
        <v>29129</v>
      </c>
      <c r="D455" s="238">
        <v>39600</v>
      </c>
      <c r="E455" t="str">
        <f>TEXT(D455,"YYYY-MM-DD")</f>
        <v>2008-06-01</v>
      </c>
      <c r="F455" s="237">
        <f>AVERAGEIFS(B:B,C:C,D455)/100</f>
        <v>6.3199999999999992E-2</v>
      </c>
      <c r="G455" t="str">
        <f t="shared" si="13"/>
        <v>('2008-06-01',0.0632),</v>
      </c>
    </row>
    <row r="456" spans="1:7" ht="16.2" x14ac:dyDescent="0.35">
      <c r="A456" s="20">
        <v>29154</v>
      </c>
      <c r="B456" s="21">
        <v>12</v>
      </c>
      <c r="C456" s="238">
        <f t="shared" si="14"/>
        <v>29129</v>
      </c>
      <c r="D456" s="238">
        <v>39630</v>
      </c>
      <c r="E456" t="str">
        <f>TEXT(D456,"YYYY-MM-DD")</f>
        <v>2008-07-01</v>
      </c>
      <c r="F456" s="237">
        <f>AVERAGEIFS(B:B,C:C,D456)/100</f>
        <v>6.4259999999999998E-2</v>
      </c>
      <c r="G456" t="str">
        <f t="shared" si="13"/>
        <v>('2008-07-01',0.06426),</v>
      </c>
    </row>
    <row r="457" spans="1:7" ht="16.2" x14ac:dyDescent="0.35">
      <c r="A457" s="20">
        <v>29161</v>
      </c>
      <c r="B457" s="21">
        <v>12.8</v>
      </c>
      <c r="C457" s="238">
        <f t="shared" si="14"/>
        <v>29160</v>
      </c>
      <c r="D457" s="238">
        <v>39661</v>
      </c>
      <c r="E457" t="str">
        <f>TEXT(D457,"YYYY-MM-DD")</f>
        <v>2008-08-01</v>
      </c>
      <c r="F457" s="237">
        <f>AVERAGEIFS(B:B,C:C,D457)/100</f>
        <v>6.4774999999999985E-2</v>
      </c>
      <c r="G457" t="str">
        <f t="shared" si="13"/>
        <v>('2008-08-01',0.064775),</v>
      </c>
    </row>
    <row r="458" spans="1:7" ht="16.2" x14ac:dyDescent="0.35">
      <c r="A458" s="20">
        <v>29168</v>
      </c>
      <c r="B458" s="21">
        <v>12.85</v>
      </c>
      <c r="C458" s="238">
        <f t="shared" si="14"/>
        <v>29160</v>
      </c>
      <c r="D458" s="238">
        <v>39692</v>
      </c>
      <c r="E458" t="str">
        <f>TEXT(D458,"YYYY-MM-DD")</f>
        <v>2008-09-01</v>
      </c>
      <c r="F458" s="237">
        <f>AVERAGEIFS(B:B,C:C,D458)/100</f>
        <v>6.0374999999999998E-2</v>
      </c>
      <c r="G458" t="str">
        <f t="shared" si="13"/>
        <v>('2008-09-01',0.060375),</v>
      </c>
    </row>
    <row r="459" spans="1:7" ht="16.2" x14ac:dyDescent="0.35">
      <c r="A459" s="20">
        <v>29175</v>
      </c>
      <c r="B459" s="21">
        <v>12.8</v>
      </c>
      <c r="C459" s="238">
        <f t="shared" si="14"/>
        <v>29160</v>
      </c>
      <c r="D459" s="238">
        <v>39722</v>
      </c>
      <c r="E459" t="str">
        <f>TEXT(D459,"YYYY-MM-DD")</f>
        <v>2008-10-01</v>
      </c>
      <c r="F459" s="237">
        <f>AVERAGEIFS(B:B,C:C,D459)/100</f>
        <v>6.2E-2</v>
      </c>
      <c r="G459" t="str">
        <f t="shared" ref="G459:G522" si="15">"('"&amp;E459&amp;"',"&amp;F459&amp;")"&amp;IF(LEN(E460)+LEN(F460)&gt;0,",",";")</f>
        <v>('2008-10-01',0.062),</v>
      </c>
    </row>
    <row r="460" spans="1:7" ht="16.2" x14ac:dyDescent="0.35">
      <c r="A460" s="20">
        <v>29182</v>
      </c>
      <c r="B460" s="21">
        <v>12.8</v>
      </c>
      <c r="C460" s="238">
        <f t="shared" si="14"/>
        <v>29160</v>
      </c>
      <c r="D460" s="238">
        <v>39753</v>
      </c>
      <c r="E460" t="str">
        <f>TEXT(D460,"YYYY-MM-DD")</f>
        <v>2008-11-01</v>
      </c>
      <c r="F460" s="237">
        <f>AVERAGEIFS(B:B,C:C,D460)/100</f>
        <v>6.0874999999999992E-2</v>
      </c>
      <c r="G460" t="str">
        <f t="shared" si="15"/>
        <v>('2008-11-01',0.060875),</v>
      </c>
    </row>
    <row r="461" spans="1:7" ht="16.2" x14ac:dyDescent="0.35">
      <c r="A461" s="20">
        <v>29189</v>
      </c>
      <c r="B461" s="21">
        <v>12.9</v>
      </c>
      <c r="C461" s="238">
        <f t="shared" si="14"/>
        <v>29160</v>
      </c>
      <c r="D461" s="238">
        <v>39783</v>
      </c>
      <c r="E461" t="str">
        <f>TEXT(D461,"YYYY-MM-DD")</f>
        <v>2008-12-01</v>
      </c>
      <c r="F461" s="237">
        <f>AVERAGEIFS(B:B,C:C,D461)/100</f>
        <v>5.2859999999999997E-2</v>
      </c>
      <c r="G461" t="str">
        <f t="shared" si="15"/>
        <v>('2008-12-01',0.05286),</v>
      </c>
    </row>
    <row r="462" spans="1:7" ht="16.2" x14ac:dyDescent="0.35">
      <c r="A462" s="20">
        <v>29196</v>
      </c>
      <c r="B462" s="21">
        <v>12.9</v>
      </c>
      <c r="C462" s="238">
        <f t="shared" si="14"/>
        <v>29190</v>
      </c>
      <c r="D462" s="238">
        <v>39814</v>
      </c>
      <c r="E462" t="str">
        <f>TEXT(D462,"YYYY-MM-DD")</f>
        <v>2009-01-01</v>
      </c>
      <c r="F462" s="237">
        <f>AVERAGEIFS(B:B,C:C,D462)/100</f>
        <v>5.0474999999999992E-2</v>
      </c>
      <c r="G462" t="str">
        <f t="shared" si="15"/>
        <v>('2009-01-01',0.050475),</v>
      </c>
    </row>
    <row r="463" spans="1:7" ht="16.2" x14ac:dyDescent="0.35">
      <c r="A463" s="20">
        <v>29203</v>
      </c>
      <c r="B463" s="21">
        <v>12.9</v>
      </c>
      <c r="C463" s="238">
        <f t="shared" si="14"/>
        <v>29190</v>
      </c>
      <c r="D463" s="238">
        <v>39845</v>
      </c>
      <c r="E463" t="str">
        <f>TEXT(D463,"YYYY-MM-DD")</f>
        <v>2009-02-01</v>
      </c>
      <c r="F463" s="237">
        <f>AVERAGEIFS(B:B,C:C,D463)/100</f>
        <v>5.1299999999999998E-2</v>
      </c>
      <c r="G463" t="str">
        <f t="shared" si="15"/>
        <v>('2009-02-01',0.0513),</v>
      </c>
    </row>
    <row r="464" spans="1:7" ht="16.2" x14ac:dyDescent="0.35">
      <c r="A464" s="20">
        <v>29210</v>
      </c>
      <c r="B464" s="21">
        <v>12.9</v>
      </c>
      <c r="C464" s="238">
        <f t="shared" ref="C464:C527" si="16">EOMONTH(A464,-1)+1</f>
        <v>29190</v>
      </c>
      <c r="D464" s="238">
        <v>39873</v>
      </c>
      <c r="E464" t="str">
        <f>TEXT(D464,"YYYY-MM-DD")</f>
        <v>2009-03-01</v>
      </c>
      <c r="F464" s="237">
        <f>AVERAGEIFS(B:B,C:C,D464)/100</f>
        <v>5.0024999999999993E-2</v>
      </c>
      <c r="G464" t="str">
        <f t="shared" si="15"/>
        <v>('2009-03-01',0.050025),</v>
      </c>
    </row>
    <row r="465" spans="1:7" ht="16.2" x14ac:dyDescent="0.35">
      <c r="A465" s="20">
        <v>29217</v>
      </c>
      <c r="B465" s="21">
        <v>12.9</v>
      </c>
      <c r="C465" s="238">
        <f t="shared" si="16"/>
        <v>29190</v>
      </c>
      <c r="D465" s="238">
        <v>39904</v>
      </c>
      <c r="E465" t="str">
        <f>TEXT(D465,"YYYY-MM-DD")</f>
        <v>2009-04-01</v>
      </c>
      <c r="F465" s="237">
        <f>AVERAGEIFS(B:B,C:C,D465)/100</f>
        <v>4.8100000000000004E-2</v>
      </c>
      <c r="G465" t="str">
        <f t="shared" si="15"/>
        <v>('2009-04-01',0.0481),</v>
      </c>
    </row>
    <row r="466" spans="1:7" ht="16.2" x14ac:dyDescent="0.35">
      <c r="A466" s="20">
        <v>29224</v>
      </c>
      <c r="B466" s="21">
        <v>12.85</v>
      </c>
      <c r="C466" s="238">
        <f t="shared" si="16"/>
        <v>29221</v>
      </c>
      <c r="D466" s="238">
        <v>39934</v>
      </c>
      <c r="E466" t="str">
        <f>TEXT(D466,"YYYY-MM-DD")</f>
        <v>2009-05-01</v>
      </c>
      <c r="F466" s="237">
        <f>AVERAGEIFS(B:B,C:C,D466)/100</f>
        <v>4.8575E-2</v>
      </c>
      <c r="G466" t="str">
        <f t="shared" si="15"/>
        <v>('2009-05-01',0.048575),</v>
      </c>
    </row>
    <row r="467" spans="1:7" ht="16.2" x14ac:dyDescent="0.35">
      <c r="A467" s="20">
        <v>29231</v>
      </c>
      <c r="B467" s="21">
        <v>12.9</v>
      </c>
      <c r="C467" s="238">
        <f t="shared" si="16"/>
        <v>29221</v>
      </c>
      <c r="D467" s="238">
        <v>39965</v>
      </c>
      <c r="E467" t="str">
        <f>TEXT(D467,"YYYY-MM-DD")</f>
        <v>2009-06-01</v>
      </c>
      <c r="F467" s="237">
        <f>AVERAGEIFS(B:B,C:C,D467)/100</f>
        <v>5.4199999999999998E-2</v>
      </c>
      <c r="G467" t="str">
        <f t="shared" si="15"/>
        <v>('2009-06-01',0.0542),</v>
      </c>
    </row>
    <row r="468" spans="1:7" ht="16.2" x14ac:dyDescent="0.35">
      <c r="A468" s="20">
        <v>29238</v>
      </c>
      <c r="B468" s="21">
        <v>12.87</v>
      </c>
      <c r="C468" s="238">
        <f t="shared" si="16"/>
        <v>29221</v>
      </c>
      <c r="D468" s="238">
        <v>39995</v>
      </c>
      <c r="E468" t="str">
        <f>TEXT(D468,"YYYY-MM-DD")</f>
        <v>2009-07-01</v>
      </c>
      <c r="F468" s="237">
        <f>AVERAGEIFS(B:B,C:C,D468)/100</f>
        <v>5.2219999999999996E-2</v>
      </c>
      <c r="G468" t="str">
        <f t="shared" si="15"/>
        <v>('2009-07-01',0.05222),</v>
      </c>
    </row>
    <row r="469" spans="1:7" ht="16.2" x14ac:dyDescent="0.35">
      <c r="A469" s="20">
        <v>29245</v>
      </c>
      <c r="B469" s="21">
        <v>12.89</v>
      </c>
      <c r="C469" s="238">
        <f t="shared" si="16"/>
        <v>29221</v>
      </c>
      <c r="D469" s="238">
        <v>40026</v>
      </c>
      <c r="E469" t="str">
        <f>TEXT(D469,"YYYY-MM-DD")</f>
        <v>2009-08-01</v>
      </c>
      <c r="F469" s="237">
        <f>AVERAGEIFS(B:B,C:C,D469)/100</f>
        <v>5.1924999999999999E-2</v>
      </c>
      <c r="G469" t="str">
        <f t="shared" si="15"/>
        <v>('2009-08-01',0.051925),</v>
      </c>
    </row>
    <row r="470" spans="1:7" ht="16.2" x14ac:dyDescent="0.35">
      <c r="A470" s="20">
        <v>29252</v>
      </c>
      <c r="B470" s="21">
        <v>12.85</v>
      </c>
      <c r="C470" s="238">
        <f t="shared" si="16"/>
        <v>29252</v>
      </c>
      <c r="D470" s="238">
        <v>40057</v>
      </c>
      <c r="E470" t="str">
        <f>TEXT(D470,"YYYY-MM-DD")</f>
        <v>2009-09-01</v>
      </c>
      <c r="F470" s="237">
        <f>AVERAGEIFS(B:B,C:C,D470)/100</f>
        <v>5.0575000000000002E-2</v>
      </c>
      <c r="G470" t="str">
        <f t="shared" si="15"/>
        <v>('2009-09-01',0.050575),</v>
      </c>
    </row>
    <row r="471" spans="1:7" ht="16.2" x14ac:dyDescent="0.35">
      <c r="A471" s="20">
        <v>29259</v>
      </c>
      <c r="B471" s="21">
        <v>12.85</v>
      </c>
      <c r="C471" s="238">
        <f t="shared" si="16"/>
        <v>29252</v>
      </c>
      <c r="D471" s="238">
        <v>40087</v>
      </c>
      <c r="E471" t="str">
        <f>TEXT(D471,"YYYY-MM-DD")</f>
        <v>2009-10-01</v>
      </c>
      <c r="F471" s="237">
        <f>AVERAGEIFS(B:B,C:C,D471)/100</f>
        <v>4.9520000000000002E-2</v>
      </c>
      <c r="G471" t="str">
        <f t="shared" si="15"/>
        <v>('2009-10-01',0.04952),</v>
      </c>
    </row>
    <row r="472" spans="1:7" ht="16.2" x14ac:dyDescent="0.35">
      <c r="A472" s="20">
        <v>29266</v>
      </c>
      <c r="B472" s="21">
        <v>12.875</v>
      </c>
      <c r="C472" s="238">
        <f t="shared" si="16"/>
        <v>29252</v>
      </c>
      <c r="D472" s="238">
        <v>40118</v>
      </c>
      <c r="E472" t="str">
        <f>TEXT(D472,"YYYY-MM-DD")</f>
        <v>2009-11-01</v>
      </c>
      <c r="F472" s="237">
        <f>AVERAGEIFS(B:B,C:C,D472)/100</f>
        <v>4.8750000000000002E-2</v>
      </c>
      <c r="G472" t="str">
        <f t="shared" si="15"/>
        <v>('2009-11-01',0.04875),</v>
      </c>
    </row>
    <row r="473" spans="1:7" ht="16.2" x14ac:dyDescent="0.35">
      <c r="A473" s="20">
        <v>29273</v>
      </c>
      <c r="B473" s="21">
        <v>13.025</v>
      </c>
      <c r="C473" s="238">
        <f t="shared" si="16"/>
        <v>29252</v>
      </c>
      <c r="D473" s="238">
        <v>40148</v>
      </c>
      <c r="E473" t="str">
        <f>TEXT(D473,"YYYY-MM-DD")</f>
        <v>2009-12-01</v>
      </c>
      <c r="F473" s="237">
        <f>AVERAGEIFS(B:B,C:C,D473)/100</f>
        <v>4.9300000000000004E-2</v>
      </c>
      <c r="G473" t="str">
        <f t="shared" si="15"/>
        <v>('2009-12-01',0.0493),</v>
      </c>
    </row>
    <row r="474" spans="1:7" ht="16.2" x14ac:dyDescent="0.35">
      <c r="A474" s="20">
        <v>29280</v>
      </c>
      <c r="B474" s="21">
        <v>13.59</v>
      </c>
      <c r="C474" s="238">
        <f t="shared" si="16"/>
        <v>29252</v>
      </c>
      <c r="D474" s="238">
        <v>40179</v>
      </c>
      <c r="E474" t="str">
        <f>TEXT(D474,"YYYY-MM-DD")</f>
        <v>2010-01-01</v>
      </c>
      <c r="F474" s="237">
        <f>AVERAGEIFS(B:B,C:C,D474)/100</f>
        <v>5.0299999999999991E-2</v>
      </c>
      <c r="G474" t="str">
        <f t="shared" si="15"/>
        <v>('2010-01-01',0.0503),</v>
      </c>
    </row>
    <row r="475" spans="1:7" ht="16.2" x14ac:dyDescent="0.35">
      <c r="A475" s="20">
        <v>29287</v>
      </c>
      <c r="B475" s="21">
        <v>14</v>
      </c>
      <c r="C475" s="238">
        <f t="shared" si="16"/>
        <v>29281</v>
      </c>
      <c r="D475" s="238">
        <v>40210</v>
      </c>
      <c r="E475" t="str">
        <f>TEXT(D475,"YYYY-MM-DD")</f>
        <v>2010-02-01</v>
      </c>
      <c r="F475" s="237">
        <f>AVERAGEIFS(B:B,C:C,D475)/100</f>
        <v>4.99E-2</v>
      </c>
      <c r="G475" t="str">
        <f t="shared" si="15"/>
        <v>('2010-02-01',0.0499),</v>
      </c>
    </row>
    <row r="476" spans="1:7" ht="16.2" x14ac:dyDescent="0.35">
      <c r="A476" s="20">
        <v>29294</v>
      </c>
      <c r="B476" s="21">
        <v>15.4</v>
      </c>
      <c r="C476" s="238">
        <f t="shared" si="16"/>
        <v>29281</v>
      </c>
      <c r="D476" s="238">
        <v>40238</v>
      </c>
      <c r="E476" t="str">
        <f>TEXT(D476,"YYYY-MM-DD")</f>
        <v>2010-03-01</v>
      </c>
      <c r="F476" s="237">
        <f>AVERAGEIFS(B:B,C:C,D476)/100</f>
        <v>4.9674999999999997E-2</v>
      </c>
      <c r="G476" t="str">
        <f t="shared" si="15"/>
        <v>('2010-03-01',0.049675),</v>
      </c>
    </row>
    <row r="477" spans="1:7" ht="16.2" x14ac:dyDescent="0.35">
      <c r="A477" s="20">
        <v>29301</v>
      </c>
      <c r="B477" s="21">
        <v>15.7</v>
      </c>
      <c r="C477" s="238">
        <f t="shared" si="16"/>
        <v>29281</v>
      </c>
      <c r="D477" s="238">
        <v>40269</v>
      </c>
      <c r="E477" t="str">
        <f>TEXT(D477,"YYYY-MM-DD")</f>
        <v>2010-04-01</v>
      </c>
      <c r="F477" s="237">
        <f>AVERAGEIFS(B:B,C:C,D477)/100</f>
        <v>5.0979999999999998E-2</v>
      </c>
      <c r="G477" t="str">
        <f t="shared" si="15"/>
        <v>('2010-04-01',0.05098),</v>
      </c>
    </row>
    <row r="478" spans="1:7" ht="16.2" x14ac:dyDescent="0.35">
      <c r="A478" s="20">
        <v>29308</v>
      </c>
      <c r="B478" s="21">
        <v>16.024999999999999</v>
      </c>
      <c r="C478" s="238">
        <f t="shared" si="16"/>
        <v>29281</v>
      </c>
      <c r="D478" s="238">
        <v>40299</v>
      </c>
      <c r="E478" t="str">
        <f>TEXT(D478,"YYYY-MM-DD")</f>
        <v>2010-05-01</v>
      </c>
      <c r="F478" s="237">
        <f>AVERAGEIFS(B:B,C:C,D478)/100</f>
        <v>4.8875000000000002E-2</v>
      </c>
      <c r="G478" t="str">
        <f t="shared" si="15"/>
        <v>('2010-05-01',0.048875),</v>
      </c>
    </row>
    <row r="479" spans="1:7" ht="16.2" x14ac:dyDescent="0.35">
      <c r="A479" s="20">
        <v>29315</v>
      </c>
      <c r="B479" s="21">
        <v>16.350000000000001</v>
      </c>
      <c r="C479" s="238">
        <f t="shared" si="16"/>
        <v>29312</v>
      </c>
      <c r="D479" s="238">
        <v>40330</v>
      </c>
      <c r="E479" t="str">
        <f>TEXT(D479,"YYYY-MM-DD")</f>
        <v>2010-06-01</v>
      </c>
      <c r="F479" s="237">
        <f>AVERAGEIFS(B:B,C:C,D479)/100</f>
        <v>4.7375E-2</v>
      </c>
      <c r="G479" t="str">
        <f t="shared" si="15"/>
        <v>('2010-06-01',0.047375),</v>
      </c>
    </row>
    <row r="480" spans="1:7" ht="16.2" x14ac:dyDescent="0.35">
      <c r="A480" s="20">
        <v>29322</v>
      </c>
      <c r="B480" s="21">
        <v>16.350000000000001</v>
      </c>
      <c r="C480" s="238">
        <f t="shared" si="16"/>
        <v>29312</v>
      </c>
      <c r="D480" s="238">
        <v>40360</v>
      </c>
      <c r="E480" t="str">
        <f>TEXT(D480,"YYYY-MM-DD")</f>
        <v>2010-07-01</v>
      </c>
      <c r="F480" s="237">
        <f>AVERAGEIFS(B:B,C:C,D480)/100</f>
        <v>4.564E-2</v>
      </c>
      <c r="G480" t="str">
        <f t="shared" si="15"/>
        <v>('2010-07-01',0.04564),</v>
      </c>
    </row>
    <row r="481" spans="1:7" ht="16.2" x14ac:dyDescent="0.35">
      <c r="A481" s="20">
        <v>29329</v>
      </c>
      <c r="B481" s="21">
        <v>16.350000000000001</v>
      </c>
      <c r="C481" s="238">
        <f t="shared" si="16"/>
        <v>29312</v>
      </c>
      <c r="D481" s="238">
        <v>40391</v>
      </c>
      <c r="E481" t="str">
        <f>TEXT(D481,"YYYY-MM-DD")</f>
        <v>2010-08-01</v>
      </c>
      <c r="F481" s="237">
        <f>AVERAGEIFS(B:B,C:C,D481)/100</f>
        <v>4.4275000000000002E-2</v>
      </c>
      <c r="G481" t="str">
        <f t="shared" si="15"/>
        <v>('2010-08-01',0.044275),</v>
      </c>
    </row>
    <row r="482" spans="1:7" ht="16.2" x14ac:dyDescent="0.35">
      <c r="A482" s="20">
        <v>29336</v>
      </c>
      <c r="B482" s="21">
        <v>16.25</v>
      </c>
      <c r="C482" s="238">
        <f t="shared" si="16"/>
        <v>29312</v>
      </c>
      <c r="D482" s="238">
        <v>40422</v>
      </c>
      <c r="E482" t="str">
        <f>TEXT(D482,"YYYY-MM-DD")</f>
        <v>2010-09-01</v>
      </c>
      <c r="F482" s="237">
        <f>AVERAGEIFS(B:B,C:C,D482)/100</f>
        <v>4.3459999999999999E-2</v>
      </c>
      <c r="G482" t="str">
        <f t="shared" si="15"/>
        <v>('2010-09-01',0.04346),</v>
      </c>
    </row>
    <row r="483" spans="1:7" ht="16.2" x14ac:dyDescent="0.35">
      <c r="A483" s="20">
        <v>29343</v>
      </c>
      <c r="B483" s="21">
        <v>15.9</v>
      </c>
      <c r="C483" s="238">
        <f t="shared" si="16"/>
        <v>29342</v>
      </c>
      <c r="D483" s="238">
        <v>40452</v>
      </c>
      <c r="E483" t="str">
        <f>TEXT(D483,"YYYY-MM-DD")</f>
        <v>2010-10-01</v>
      </c>
      <c r="F483" s="237">
        <f>AVERAGEIFS(B:B,C:C,D483)/100</f>
        <v>4.2250000000000003E-2</v>
      </c>
      <c r="G483" t="str">
        <f t="shared" si="15"/>
        <v>('2010-10-01',0.04225),</v>
      </c>
    </row>
    <row r="484" spans="1:7" ht="16.2" x14ac:dyDescent="0.35">
      <c r="A484" s="20">
        <v>29350</v>
      </c>
      <c r="B484" s="21">
        <v>14.675000000000001</v>
      </c>
      <c r="C484" s="238">
        <f t="shared" si="16"/>
        <v>29342</v>
      </c>
      <c r="D484" s="238">
        <v>40483</v>
      </c>
      <c r="E484" t="str">
        <f>TEXT(D484,"YYYY-MM-DD")</f>
        <v>2010-11-01</v>
      </c>
      <c r="F484" s="237">
        <f>AVERAGEIFS(B:B,C:C,D484)/100</f>
        <v>4.300000000000001E-2</v>
      </c>
      <c r="G484" t="str">
        <f t="shared" si="15"/>
        <v>('2010-11-01',0.043),</v>
      </c>
    </row>
    <row r="485" spans="1:7" ht="16.2" x14ac:dyDescent="0.35">
      <c r="A485" s="20">
        <v>29357</v>
      </c>
      <c r="B485" s="21">
        <v>14.15</v>
      </c>
      <c r="C485" s="238">
        <f t="shared" si="16"/>
        <v>29342</v>
      </c>
      <c r="D485" s="238">
        <v>40513</v>
      </c>
      <c r="E485" t="str">
        <f>TEXT(D485,"YYYY-MM-DD")</f>
        <v>2010-12-01</v>
      </c>
      <c r="F485" s="237">
        <f>AVERAGEIFS(B:B,C:C,D485)/100</f>
        <v>4.7140000000000001E-2</v>
      </c>
      <c r="G485" t="str">
        <f t="shared" si="15"/>
        <v>('2010-12-01',0.04714),</v>
      </c>
    </row>
    <row r="486" spans="1:7" ht="16.2" x14ac:dyDescent="0.35">
      <c r="A486" s="20">
        <v>29364</v>
      </c>
      <c r="B486" s="21">
        <v>13.375</v>
      </c>
      <c r="C486" s="238">
        <f t="shared" si="16"/>
        <v>29342</v>
      </c>
      <c r="D486" s="238">
        <v>40544</v>
      </c>
      <c r="E486" t="str">
        <f>TEXT(D486,"YYYY-MM-DD")</f>
        <v>2011-01-01</v>
      </c>
      <c r="F486" s="237">
        <f>AVERAGEIFS(B:B,C:C,D486)/100</f>
        <v>4.7550000000000002E-2</v>
      </c>
      <c r="G486" t="str">
        <f t="shared" si="15"/>
        <v>('2011-01-01',0.04755),</v>
      </c>
    </row>
    <row r="487" spans="1:7" ht="16.2" x14ac:dyDescent="0.35">
      <c r="A487" s="20">
        <v>29371</v>
      </c>
      <c r="B487" s="21">
        <v>13.2</v>
      </c>
      <c r="C487" s="238">
        <f t="shared" si="16"/>
        <v>29342</v>
      </c>
      <c r="D487" s="238">
        <v>40575</v>
      </c>
      <c r="E487" t="str">
        <f>TEXT(D487,"YYYY-MM-DD")</f>
        <v>2011-02-01</v>
      </c>
      <c r="F487" s="237">
        <f>AVERAGEIFS(B:B,C:C,D487)/100</f>
        <v>4.9525E-2</v>
      </c>
      <c r="G487" t="str">
        <f t="shared" si="15"/>
        <v>('2011-02-01',0.049525),</v>
      </c>
    </row>
    <row r="488" spans="1:7" ht="16.2" x14ac:dyDescent="0.35">
      <c r="A488" s="20">
        <v>29378</v>
      </c>
      <c r="B488" s="21">
        <v>13.06</v>
      </c>
      <c r="C488" s="238">
        <f t="shared" si="16"/>
        <v>29373</v>
      </c>
      <c r="D488" s="238">
        <v>40603</v>
      </c>
      <c r="E488" t="str">
        <f>TEXT(D488,"YYYY-MM-DD")</f>
        <v>2011-03-01</v>
      </c>
      <c r="F488" s="237">
        <f>AVERAGEIFS(B:B,C:C,D488)/100</f>
        <v>4.836E-2</v>
      </c>
      <c r="G488" t="str">
        <f t="shared" si="15"/>
        <v>('2011-03-01',0.04836),</v>
      </c>
    </row>
    <row r="489" spans="1:7" ht="16.2" x14ac:dyDescent="0.35">
      <c r="A489" s="20">
        <v>29385</v>
      </c>
      <c r="B489" s="21">
        <v>12.85</v>
      </c>
      <c r="C489" s="238">
        <f t="shared" si="16"/>
        <v>29373</v>
      </c>
      <c r="D489" s="238">
        <v>40634</v>
      </c>
      <c r="E489" t="str">
        <f>TEXT(D489,"YYYY-MM-DD")</f>
        <v>2011-04-01</v>
      </c>
      <c r="F489" s="237">
        <f>AVERAGEIFS(B:B,C:C,D489)/100</f>
        <v>4.8400000000000006E-2</v>
      </c>
      <c r="G489" t="str">
        <f t="shared" si="15"/>
        <v>('2011-04-01',0.0484),</v>
      </c>
    </row>
    <row r="490" spans="1:7" ht="16.2" x14ac:dyDescent="0.35">
      <c r="A490" s="20">
        <v>29392</v>
      </c>
      <c r="B490" s="21">
        <v>12.574999999999999</v>
      </c>
      <c r="C490" s="238">
        <f t="shared" si="16"/>
        <v>29373</v>
      </c>
      <c r="D490" s="238">
        <v>40664</v>
      </c>
      <c r="E490" t="str">
        <f>TEXT(D490,"YYYY-MM-DD")</f>
        <v>2011-05-01</v>
      </c>
      <c r="F490" s="237">
        <f>AVERAGEIFS(B:B,C:C,D490)/100</f>
        <v>4.6374999999999993E-2</v>
      </c>
      <c r="G490" t="str">
        <f t="shared" si="15"/>
        <v>('2011-05-01',0.046375),</v>
      </c>
    </row>
    <row r="491" spans="1:7" ht="16.2" x14ac:dyDescent="0.35">
      <c r="A491" s="20">
        <v>29399</v>
      </c>
      <c r="B491" s="21">
        <v>12.35</v>
      </c>
      <c r="C491" s="238">
        <f t="shared" si="16"/>
        <v>29373</v>
      </c>
      <c r="D491" s="238">
        <v>40695</v>
      </c>
      <c r="E491" t="str">
        <f>TEXT(D491,"YYYY-MM-DD")</f>
        <v>2011-06-01</v>
      </c>
      <c r="F491" s="237">
        <f>AVERAGEIFS(B:B,C:C,D491)/100</f>
        <v>4.5100000000000001E-2</v>
      </c>
      <c r="G491" t="str">
        <f t="shared" si="15"/>
        <v>('2011-06-01',0.0451),</v>
      </c>
    </row>
    <row r="492" spans="1:7" ht="16.2" x14ac:dyDescent="0.35">
      <c r="A492" s="20">
        <v>29406</v>
      </c>
      <c r="B492" s="21">
        <v>12.175000000000001</v>
      </c>
      <c r="C492" s="238">
        <f t="shared" si="16"/>
        <v>29403</v>
      </c>
      <c r="D492" s="238">
        <v>40725</v>
      </c>
      <c r="E492" t="str">
        <f>TEXT(D492,"YYYY-MM-DD")</f>
        <v>2011-07-01</v>
      </c>
      <c r="F492" s="237">
        <f>AVERAGEIFS(B:B,C:C,D492)/100</f>
        <v>4.5449999999999997E-2</v>
      </c>
      <c r="G492" t="str">
        <f t="shared" si="15"/>
        <v>('2011-07-01',0.04545),</v>
      </c>
    </row>
    <row r="493" spans="1:7" ht="16.2" x14ac:dyDescent="0.35">
      <c r="A493" s="20">
        <v>29413</v>
      </c>
      <c r="B493" s="21">
        <v>12.225</v>
      </c>
      <c r="C493" s="238">
        <f t="shared" si="16"/>
        <v>29403</v>
      </c>
      <c r="D493" s="238">
        <v>40756</v>
      </c>
      <c r="E493" t="str">
        <f>TEXT(D493,"YYYY-MM-DD")</f>
        <v>2011-08-01</v>
      </c>
      <c r="F493" s="237">
        <f>AVERAGEIFS(B:B,C:C,D493)/100</f>
        <v>4.2700000000000002E-2</v>
      </c>
      <c r="G493" t="str">
        <f t="shared" si="15"/>
        <v>('2011-08-01',0.0427),</v>
      </c>
    </row>
    <row r="494" spans="1:7" ht="16.2" x14ac:dyDescent="0.35">
      <c r="A494" s="20">
        <v>29420</v>
      </c>
      <c r="B494" s="21">
        <v>12.175000000000001</v>
      </c>
      <c r="C494" s="238">
        <f t="shared" si="16"/>
        <v>29403</v>
      </c>
      <c r="D494" s="238">
        <v>40787</v>
      </c>
      <c r="E494" t="str">
        <f>TEXT(D494,"YYYY-MM-DD")</f>
        <v>2011-09-01</v>
      </c>
      <c r="F494" s="237">
        <f>AVERAGEIFS(B:B,C:C,D494)/100</f>
        <v>4.1059999999999999E-2</v>
      </c>
      <c r="G494" t="str">
        <f t="shared" si="15"/>
        <v>('2011-09-01',0.04106),</v>
      </c>
    </row>
    <row r="495" spans="1:7" ht="16.2" x14ac:dyDescent="0.35">
      <c r="A495" s="20">
        <v>29427</v>
      </c>
      <c r="B495" s="21">
        <v>12.175000000000001</v>
      </c>
      <c r="C495" s="238">
        <f t="shared" si="16"/>
        <v>29403</v>
      </c>
      <c r="D495" s="238">
        <v>40817</v>
      </c>
      <c r="E495" t="str">
        <f>TEXT(D495,"YYYY-MM-DD")</f>
        <v>2011-10-01</v>
      </c>
      <c r="F495" s="237">
        <f>AVERAGEIFS(B:B,C:C,D495)/100</f>
        <v>4.067500000000001E-2</v>
      </c>
      <c r="G495" t="str">
        <f t="shared" si="15"/>
        <v>('2011-10-01',0.040675),</v>
      </c>
    </row>
    <row r="496" spans="1:7" ht="16.2" x14ac:dyDescent="0.35">
      <c r="A496" s="20">
        <v>29434</v>
      </c>
      <c r="B496" s="21">
        <v>12.25</v>
      </c>
      <c r="C496" s="238">
        <f t="shared" si="16"/>
        <v>29434</v>
      </c>
      <c r="D496" s="238">
        <v>40848</v>
      </c>
      <c r="E496" t="str">
        <f>TEXT(D496,"YYYY-MM-DD")</f>
        <v>2011-11-01</v>
      </c>
      <c r="F496" s="237">
        <f>AVERAGEIFS(B:B,C:C,D496)/100</f>
        <v>3.9925000000000002E-2</v>
      </c>
      <c r="G496" t="str">
        <f t="shared" si="15"/>
        <v>('2011-11-01',0.039925),</v>
      </c>
    </row>
    <row r="497" spans="1:7" ht="16.2" x14ac:dyDescent="0.35">
      <c r="A497" s="20">
        <v>29441</v>
      </c>
      <c r="B497" s="21">
        <v>12.25</v>
      </c>
      <c r="C497" s="238">
        <f t="shared" si="16"/>
        <v>29434</v>
      </c>
      <c r="D497" s="238">
        <v>40878</v>
      </c>
      <c r="E497" t="str">
        <f>TEXT(D497,"YYYY-MM-DD")</f>
        <v>2011-12-01</v>
      </c>
      <c r="F497" s="237">
        <f>AVERAGEIFS(B:B,C:C,D497)/100</f>
        <v>3.9579999999999997E-2</v>
      </c>
      <c r="G497" t="str">
        <f t="shared" si="15"/>
        <v>('2011-12-01',0.03958),</v>
      </c>
    </row>
    <row r="498" spans="1:7" ht="16.2" x14ac:dyDescent="0.35">
      <c r="A498" s="20">
        <v>29448</v>
      </c>
      <c r="B498" s="21">
        <v>12.55</v>
      </c>
      <c r="C498" s="238">
        <f t="shared" si="16"/>
        <v>29434</v>
      </c>
      <c r="D498" s="238">
        <v>40909</v>
      </c>
      <c r="E498" t="str">
        <f>TEXT(D498,"YYYY-MM-DD")</f>
        <v>2012-01-01</v>
      </c>
      <c r="F498" s="237">
        <f>AVERAGEIFS(B:B,C:C,D498)/100</f>
        <v>3.9149999999999997E-2</v>
      </c>
      <c r="G498" t="str">
        <f t="shared" si="15"/>
        <v>('2012-01-01',0.03915),</v>
      </c>
    </row>
    <row r="499" spans="1:7" ht="16.2" x14ac:dyDescent="0.35">
      <c r="A499" s="20">
        <v>29455</v>
      </c>
      <c r="B499" s="21">
        <v>12.8</v>
      </c>
      <c r="C499" s="238">
        <f t="shared" si="16"/>
        <v>29434</v>
      </c>
      <c r="D499" s="238">
        <v>40940</v>
      </c>
      <c r="E499" t="str">
        <f>TEXT(D499,"YYYY-MM-DD")</f>
        <v>2012-02-01</v>
      </c>
      <c r="F499" s="237">
        <f>AVERAGEIFS(B:B,C:C,D499)/100</f>
        <v>3.8899999999999997E-2</v>
      </c>
      <c r="G499" t="str">
        <f t="shared" si="15"/>
        <v>('2012-02-01',0.0389),</v>
      </c>
    </row>
    <row r="500" spans="1:7" ht="16.2" x14ac:dyDescent="0.35">
      <c r="A500" s="20">
        <v>29462</v>
      </c>
      <c r="B500" s="21">
        <v>12.95</v>
      </c>
      <c r="C500" s="238">
        <f t="shared" si="16"/>
        <v>29434</v>
      </c>
      <c r="D500" s="238">
        <v>40969</v>
      </c>
      <c r="E500" t="str">
        <f>TEXT(D500,"YYYY-MM-DD")</f>
        <v>2012-03-01</v>
      </c>
      <c r="F500" s="237">
        <f>AVERAGEIFS(B:B,C:C,D500)/100</f>
        <v>3.9539999999999999E-2</v>
      </c>
      <c r="G500" t="str">
        <f t="shared" si="15"/>
        <v>('2012-03-01',0.03954),</v>
      </c>
    </row>
    <row r="501" spans="1:7" ht="16.2" x14ac:dyDescent="0.35">
      <c r="A501" s="20">
        <v>29469</v>
      </c>
      <c r="B501" s="21">
        <v>13.025</v>
      </c>
      <c r="C501" s="238">
        <f t="shared" si="16"/>
        <v>29465</v>
      </c>
      <c r="D501" s="238">
        <v>41000</v>
      </c>
      <c r="E501" t="str">
        <f>TEXT(D501,"YYYY-MM-DD")</f>
        <v>2012-04-01</v>
      </c>
      <c r="F501" s="237">
        <f>AVERAGEIFS(B:B,C:C,D501)/100</f>
        <v>3.9100000000000003E-2</v>
      </c>
      <c r="G501" t="str">
        <f t="shared" si="15"/>
        <v>('2012-04-01',0.0391),</v>
      </c>
    </row>
    <row r="502" spans="1:7" ht="16.2" x14ac:dyDescent="0.35">
      <c r="A502" s="20">
        <v>29476</v>
      </c>
      <c r="B502" s="21">
        <v>13.074999999999999</v>
      </c>
      <c r="C502" s="238">
        <f t="shared" si="16"/>
        <v>29465</v>
      </c>
      <c r="D502" s="238">
        <v>41030</v>
      </c>
      <c r="E502" t="str">
        <f>TEXT(D502,"YYYY-MM-DD")</f>
        <v>2012-05-01</v>
      </c>
      <c r="F502" s="237">
        <f>AVERAGEIFS(B:B,C:C,D502)/100</f>
        <v>3.7980000000000007E-2</v>
      </c>
      <c r="G502" t="str">
        <f t="shared" si="15"/>
        <v>('2012-05-01',0.03798),</v>
      </c>
    </row>
    <row r="503" spans="1:7" ht="16.2" x14ac:dyDescent="0.35">
      <c r="A503" s="20">
        <v>29483</v>
      </c>
      <c r="B503" s="21">
        <v>13.25</v>
      </c>
      <c r="C503" s="238">
        <f t="shared" si="16"/>
        <v>29465</v>
      </c>
      <c r="D503" s="238">
        <v>41061</v>
      </c>
      <c r="E503" t="str">
        <f>TEXT(D503,"YYYY-MM-DD")</f>
        <v>2012-06-01</v>
      </c>
      <c r="F503" s="237">
        <f>AVERAGEIFS(B:B,C:C,D503)/100</f>
        <v>3.6749999999999998E-2</v>
      </c>
      <c r="G503" t="str">
        <f t="shared" si="15"/>
        <v>('2012-06-01',0.03675),</v>
      </c>
    </row>
    <row r="504" spans="1:7" ht="16.2" x14ac:dyDescent="0.35">
      <c r="A504" s="20">
        <v>29490</v>
      </c>
      <c r="B504" s="21">
        <v>13.425000000000001</v>
      </c>
      <c r="C504" s="238">
        <f t="shared" si="16"/>
        <v>29465</v>
      </c>
      <c r="D504" s="238">
        <v>41091</v>
      </c>
      <c r="E504" t="str">
        <f>TEXT(D504,"YYYY-MM-DD")</f>
        <v>2012-07-01</v>
      </c>
      <c r="F504" s="237">
        <f>AVERAGEIFS(B:B,C:C,D504)/100</f>
        <v>3.5499999999999997E-2</v>
      </c>
      <c r="G504" t="str">
        <f t="shared" si="15"/>
        <v>('2012-07-01',0.0355),</v>
      </c>
    </row>
    <row r="505" spans="1:7" ht="16.2" x14ac:dyDescent="0.35">
      <c r="A505" s="20">
        <v>29497</v>
      </c>
      <c r="B505" s="21">
        <v>13.6</v>
      </c>
      <c r="C505" s="238">
        <f t="shared" si="16"/>
        <v>29495</v>
      </c>
      <c r="D505" s="238">
        <v>41122</v>
      </c>
      <c r="E505" t="str">
        <f>TEXT(D505,"YYYY-MM-DD")</f>
        <v>2012-08-01</v>
      </c>
      <c r="F505" s="237">
        <f>AVERAGEIFS(B:B,C:C,D505)/100</f>
        <v>3.6019999999999996E-2</v>
      </c>
      <c r="G505" t="str">
        <f t="shared" si="15"/>
        <v>('2012-08-01',0.03602),</v>
      </c>
    </row>
    <row r="506" spans="1:7" ht="16.2" x14ac:dyDescent="0.35">
      <c r="A506" s="20">
        <v>29504</v>
      </c>
      <c r="B506" s="21">
        <v>13.725</v>
      </c>
      <c r="C506" s="238">
        <f t="shared" si="16"/>
        <v>29495</v>
      </c>
      <c r="D506" s="238">
        <v>41153</v>
      </c>
      <c r="E506" t="str">
        <f>TEXT(D506,"YYYY-MM-DD")</f>
        <v>2012-09-01</v>
      </c>
      <c r="F506" s="237">
        <f>AVERAGEIFS(B:B,C:C,D506)/100</f>
        <v>3.4974999999999999E-2</v>
      </c>
      <c r="G506" t="str">
        <f t="shared" si="15"/>
        <v>('2012-09-01',0.034975),</v>
      </c>
    </row>
    <row r="507" spans="1:7" ht="16.2" x14ac:dyDescent="0.35">
      <c r="A507" s="20">
        <v>29511</v>
      </c>
      <c r="B507" s="21">
        <v>13.775</v>
      </c>
      <c r="C507" s="238">
        <f t="shared" si="16"/>
        <v>29495</v>
      </c>
      <c r="D507" s="238">
        <v>41183</v>
      </c>
      <c r="E507" t="str">
        <f>TEXT(D507,"YYYY-MM-DD")</f>
        <v>2012-10-01</v>
      </c>
      <c r="F507" s="237">
        <f>AVERAGEIFS(B:B,C:C,D507)/100</f>
        <v>3.3825000000000001E-2</v>
      </c>
      <c r="G507" t="str">
        <f t="shared" si="15"/>
        <v>('2012-10-01',0.033825),</v>
      </c>
    </row>
    <row r="508" spans="1:7" ht="16.2" x14ac:dyDescent="0.35">
      <c r="A508" s="20">
        <v>29518</v>
      </c>
      <c r="B508" s="21">
        <v>13.85</v>
      </c>
      <c r="C508" s="238">
        <f t="shared" si="16"/>
        <v>29495</v>
      </c>
      <c r="D508" s="238">
        <v>41214</v>
      </c>
      <c r="E508" t="str">
        <f>TEXT(D508,"YYYY-MM-DD")</f>
        <v>2012-11-01</v>
      </c>
      <c r="F508" s="237">
        <f>AVERAGEIFS(B:B,C:C,D508)/100</f>
        <v>3.3519999999999994E-2</v>
      </c>
      <c r="G508" t="str">
        <f t="shared" si="15"/>
        <v>('2012-11-01',0.03352),</v>
      </c>
    </row>
    <row r="509" spans="1:7" ht="16.2" x14ac:dyDescent="0.35">
      <c r="A509" s="20">
        <v>29525</v>
      </c>
      <c r="B509" s="21">
        <v>14</v>
      </c>
      <c r="C509" s="238">
        <f t="shared" si="16"/>
        <v>29495</v>
      </c>
      <c r="D509" s="238">
        <v>41244</v>
      </c>
      <c r="E509" t="str">
        <f>TEXT(D509,"YYYY-MM-DD")</f>
        <v>2012-12-01</v>
      </c>
      <c r="F509" s="237">
        <f>AVERAGEIFS(B:B,C:C,D509)/100</f>
        <v>3.3450000000000001E-2</v>
      </c>
      <c r="G509" t="str">
        <f t="shared" si="15"/>
        <v>('2012-12-01',0.03345),</v>
      </c>
    </row>
    <row r="510" spans="1:7" ht="16.2" x14ac:dyDescent="0.35">
      <c r="A510" s="20">
        <v>29532</v>
      </c>
      <c r="B510" s="21">
        <v>14.074999999999999</v>
      </c>
      <c r="C510" s="238">
        <f t="shared" si="16"/>
        <v>29526</v>
      </c>
      <c r="D510" s="238">
        <v>41275</v>
      </c>
      <c r="E510" t="str">
        <f>TEXT(D510,"YYYY-MM-DD")</f>
        <v>2013-01-01</v>
      </c>
      <c r="F510" s="237">
        <f>AVERAGEIFS(B:B,C:C,D510)/100</f>
        <v>3.4140000000000004E-2</v>
      </c>
      <c r="G510" t="str">
        <f t="shared" si="15"/>
        <v>('2013-01-01',0.03414),</v>
      </c>
    </row>
    <row r="511" spans="1:7" ht="16.2" x14ac:dyDescent="0.35">
      <c r="A511" s="20">
        <v>29539</v>
      </c>
      <c r="B511" s="21">
        <v>14.175000000000001</v>
      </c>
      <c r="C511" s="238">
        <f t="shared" si="16"/>
        <v>29526</v>
      </c>
      <c r="D511" s="238">
        <v>41306</v>
      </c>
      <c r="E511" t="str">
        <f>TEXT(D511,"YYYY-MM-DD")</f>
        <v>2013-02-01</v>
      </c>
      <c r="F511" s="237">
        <f>AVERAGEIFS(B:B,C:C,D511)/100</f>
        <v>3.5324999999999995E-2</v>
      </c>
      <c r="G511" t="str">
        <f t="shared" si="15"/>
        <v>('2013-02-01',0.035325),</v>
      </c>
    </row>
    <row r="512" spans="1:7" ht="16.2" x14ac:dyDescent="0.35">
      <c r="A512" s="20">
        <v>29546</v>
      </c>
      <c r="B512" s="21">
        <v>14.275</v>
      </c>
      <c r="C512" s="238">
        <f t="shared" si="16"/>
        <v>29526</v>
      </c>
      <c r="D512" s="238">
        <v>41334</v>
      </c>
      <c r="E512" t="str">
        <f>TEXT(D512,"YYYY-MM-DD")</f>
        <v>2013-03-01</v>
      </c>
      <c r="F512" s="237">
        <f>AVERAGEIFS(B:B,C:C,D512)/100</f>
        <v>3.5650000000000001E-2</v>
      </c>
      <c r="G512" t="str">
        <f t="shared" si="15"/>
        <v>('2013-03-01',0.03565),</v>
      </c>
    </row>
    <row r="513" spans="1:7" ht="16.2" x14ac:dyDescent="0.35">
      <c r="A513" s="20">
        <v>29553</v>
      </c>
      <c r="B513" s="21">
        <v>14.275</v>
      </c>
      <c r="C513" s="238">
        <f t="shared" si="16"/>
        <v>29526</v>
      </c>
      <c r="D513" s="238">
        <v>41365</v>
      </c>
      <c r="E513" t="str">
        <f>TEXT(D513,"YYYY-MM-DD")</f>
        <v>2013-04-01</v>
      </c>
      <c r="F513" s="237">
        <f>AVERAGEIFS(B:B,C:C,D513)/100</f>
        <v>3.4450000000000001E-2</v>
      </c>
      <c r="G513" t="str">
        <f t="shared" si="15"/>
        <v>('2013-04-01',0.03445),</v>
      </c>
    </row>
    <row r="514" spans="1:7" ht="16.2" x14ac:dyDescent="0.35">
      <c r="A514" s="20">
        <v>29560</v>
      </c>
      <c r="B514" s="21">
        <v>14.425000000000001</v>
      </c>
      <c r="C514" s="238">
        <f t="shared" si="16"/>
        <v>29556</v>
      </c>
      <c r="D514" s="238">
        <v>41395</v>
      </c>
      <c r="E514" t="str">
        <f>TEXT(D514,"YYYY-MM-DD")</f>
        <v>2013-05-01</v>
      </c>
      <c r="F514" s="237">
        <f>AVERAGEIFS(B:B,C:C,D514)/100</f>
        <v>3.5360000000000003E-2</v>
      </c>
      <c r="G514" t="str">
        <f t="shared" si="15"/>
        <v>('2013-05-01',0.03536),</v>
      </c>
    </row>
    <row r="515" spans="1:7" ht="16.2" x14ac:dyDescent="0.35">
      <c r="A515" s="20">
        <v>29567</v>
      </c>
      <c r="B515" s="21">
        <v>14.824999999999999</v>
      </c>
      <c r="C515" s="238">
        <f t="shared" si="16"/>
        <v>29556</v>
      </c>
      <c r="D515" s="238">
        <v>41426</v>
      </c>
      <c r="E515" t="str">
        <f>TEXT(D515,"YYYY-MM-DD")</f>
        <v>2013-06-01</v>
      </c>
      <c r="F515" s="237">
        <f>AVERAGEIFS(B:B,C:C,D515)/100</f>
        <v>4.07E-2</v>
      </c>
      <c r="G515" t="str">
        <f t="shared" si="15"/>
        <v>('2013-06-01',0.0407),</v>
      </c>
    </row>
    <row r="516" spans="1:7" ht="16.2" x14ac:dyDescent="0.35">
      <c r="A516" s="20">
        <v>29574</v>
      </c>
      <c r="B516" s="21">
        <v>14.95</v>
      </c>
      <c r="C516" s="238">
        <f t="shared" si="16"/>
        <v>29556</v>
      </c>
      <c r="D516" s="238">
        <v>41456</v>
      </c>
      <c r="E516" t="str">
        <f>TEXT(D516,"YYYY-MM-DD")</f>
        <v>2013-07-01</v>
      </c>
      <c r="F516" s="237">
        <f>AVERAGEIFS(B:B,C:C,D516)/100</f>
        <v>4.3700000000000003E-2</v>
      </c>
      <c r="G516" t="str">
        <f t="shared" si="15"/>
        <v>('2013-07-01',0.0437),</v>
      </c>
    </row>
    <row r="517" spans="1:7" ht="16.2" x14ac:dyDescent="0.35">
      <c r="A517" s="20">
        <v>29581</v>
      </c>
      <c r="B517" s="21">
        <v>14.95</v>
      </c>
      <c r="C517" s="238">
        <f t="shared" si="16"/>
        <v>29556</v>
      </c>
      <c r="D517" s="238">
        <v>41487</v>
      </c>
      <c r="E517" t="str">
        <f>TEXT(D517,"YYYY-MM-DD")</f>
        <v>2013-08-01</v>
      </c>
      <c r="F517" s="237">
        <f>AVERAGEIFS(B:B,C:C,D517)/100</f>
        <v>4.4560000000000002E-2</v>
      </c>
      <c r="G517" t="str">
        <f t="shared" si="15"/>
        <v>('2013-08-01',0.04456),</v>
      </c>
    </row>
    <row r="518" spans="1:7" ht="16.2" x14ac:dyDescent="0.35">
      <c r="A518" s="20">
        <v>29588</v>
      </c>
      <c r="B518" s="21">
        <v>14.95</v>
      </c>
      <c r="C518" s="238">
        <f t="shared" si="16"/>
        <v>29587</v>
      </c>
      <c r="D518" s="238">
        <v>41518</v>
      </c>
      <c r="E518" t="str">
        <f>TEXT(D518,"YYYY-MM-DD")</f>
        <v>2013-09-01</v>
      </c>
      <c r="F518" s="237">
        <f>AVERAGEIFS(B:B,C:C,D518)/100</f>
        <v>4.4900000000000002E-2</v>
      </c>
      <c r="G518" t="str">
        <f t="shared" si="15"/>
        <v>('2013-09-01',0.0449),</v>
      </c>
    </row>
    <row r="519" spans="1:7" ht="16.2" x14ac:dyDescent="0.35">
      <c r="A519" s="20">
        <v>29595</v>
      </c>
      <c r="B519" s="21">
        <v>14.8</v>
      </c>
      <c r="C519" s="238">
        <f t="shared" si="16"/>
        <v>29587</v>
      </c>
      <c r="D519" s="238">
        <v>41548</v>
      </c>
      <c r="E519" t="str">
        <f>TEXT(D519,"YYYY-MM-DD")</f>
        <v>2013-10-01</v>
      </c>
      <c r="F519" s="237">
        <f>AVERAGEIFS(B:B,C:C,D519)/100</f>
        <v>4.1919999999999999E-2</v>
      </c>
      <c r="G519" t="str">
        <f t="shared" si="15"/>
        <v>('2013-10-01',0.04192),</v>
      </c>
    </row>
    <row r="520" spans="1:7" ht="16.2" x14ac:dyDescent="0.35">
      <c r="A520" s="20">
        <v>29602</v>
      </c>
      <c r="B520" s="21">
        <v>14.85</v>
      </c>
      <c r="C520" s="238">
        <f t="shared" si="16"/>
        <v>29587</v>
      </c>
      <c r="D520" s="238">
        <v>41579</v>
      </c>
      <c r="E520" t="str">
        <f>TEXT(D520,"YYYY-MM-DD")</f>
        <v>2013-11-01</v>
      </c>
      <c r="F520" s="237">
        <f>AVERAGEIFS(B:B,C:C,D520)/100</f>
        <v>4.2549999999999998E-2</v>
      </c>
      <c r="G520" t="str">
        <f t="shared" si="15"/>
        <v>('2013-11-01',0.04255),</v>
      </c>
    </row>
    <row r="521" spans="1:7" ht="16.2" x14ac:dyDescent="0.35">
      <c r="A521" s="20">
        <v>29609</v>
      </c>
      <c r="B521" s="21">
        <v>14.85</v>
      </c>
      <c r="C521" s="238">
        <f t="shared" si="16"/>
        <v>29587</v>
      </c>
      <c r="D521" s="238">
        <v>41609</v>
      </c>
      <c r="E521" t="str">
        <f>TEXT(D521,"YYYY-MM-DD")</f>
        <v>2013-12-01</v>
      </c>
      <c r="F521" s="237">
        <f>AVERAGEIFS(B:B,C:C,D521)/100</f>
        <v>4.4574999999999997E-2</v>
      </c>
      <c r="G521" t="str">
        <f t="shared" si="15"/>
        <v>('2013-12-01',0.044575),</v>
      </c>
    </row>
    <row r="522" spans="1:7" ht="16.2" x14ac:dyDescent="0.35">
      <c r="A522" s="20">
        <v>29616</v>
      </c>
      <c r="B522" s="21">
        <v>15.07</v>
      </c>
      <c r="C522" s="238">
        <f t="shared" si="16"/>
        <v>29587</v>
      </c>
      <c r="D522" s="238">
        <v>41640</v>
      </c>
      <c r="E522" t="str">
        <f>TEXT(D522,"YYYY-MM-DD")</f>
        <v>2014-01-01</v>
      </c>
      <c r="F522" s="237">
        <f>AVERAGEIFS(B:B,C:C,D522)/100</f>
        <v>4.4320000000000005E-2</v>
      </c>
      <c r="G522" t="str">
        <f t="shared" si="15"/>
        <v>('2014-01-01',0.04432),</v>
      </c>
    </row>
    <row r="523" spans="1:7" ht="16.2" x14ac:dyDescent="0.35">
      <c r="A523" s="20">
        <v>29623</v>
      </c>
      <c r="B523" s="21">
        <v>15</v>
      </c>
      <c r="C523" s="238">
        <f t="shared" si="16"/>
        <v>29618</v>
      </c>
      <c r="D523" s="238">
        <v>41671</v>
      </c>
      <c r="E523" t="str">
        <f>TEXT(D523,"YYYY-MM-DD")</f>
        <v>2014-02-01</v>
      </c>
      <c r="F523" s="237">
        <f>AVERAGEIFS(B:B,C:C,D523)/100</f>
        <v>4.3025000000000001E-2</v>
      </c>
      <c r="G523" t="str">
        <f t="shared" ref="G523:G586" si="17">"('"&amp;E523&amp;"',"&amp;F523&amp;")"&amp;IF(LEN(E524)+LEN(F524)&gt;0,",",";")</f>
        <v>('2014-02-01',0.043025),</v>
      </c>
    </row>
    <row r="524" spans="1:7" ht="16.2" x14ac:dyDescent="0.35">
      <c r="A524" s="20">
        <v>29630</v>
      </c>
      <c r="B524" s="21">
        <v>15.03</v>
      </c>
      <c r="C524" s="238">
        <f t="shared" si="16"/>
        <v>29618</v>
      </c>
      <c r="D524" s="238">
        <v>41699</v>
      </c>
      <c r="E524" t="str">
        <f>TEXT(D524,"YYYY-MM-DD")</f>
        <v>2014-03-01</v>
      </c>
      <c r="F524" s="237">
        <f>AVERAGEIFS(B:B,C:C,D524)/100</f>
        <v>4.3425000000000005E-2</v>
      </c>
      <c r="G524" t="str">
        <f t="shared" si="17"/>
        <v>('2014-03-01',0.043425),</v>
      </c>
    </row>
    <row r="525" spans="1:7" ht="16.2" x14ac:dyDescent="0.35">
      <c r="A525" s="20">
        <v>29637</v>
      </c>
      <c r="B525" s="21">
        <v>15.2</v>
      </c>
      <c r="C525" s="238">
        <f t="shared" si="16"/>
        <v>29618</v>
      </c>
      <c r="D525" s="238">
        <v>41730</v>
      </c>
      <c r="E525" t="str">
        <f>TEXT(D525,"YYYY-MM-DD")</f>
        <v>2014-04-01</v>
      </c>
      <c r="F525" s="237">
        <f>AVERAGEIFS(B:B,C:C,D525)/100</f>
        <v>4.3375000000000004E-2</v>
      </c>
      <c r="G525" t="str">
        <f t="shared" si="17"/>
        <v>('2014-04-01',0.043375),</v>
      </c>
    </row>
    <row r="526" spans="1:7" ht="16.2" x14ac:dyDescent="0.35">
      <c r="A526" s="20">
        <v>29644</v>
      </c>
      <c r="B526" s="21">
        <v>15.3</v>
      </c>
      <c r="C526" s="238">
        <f t="shared" si="16"/>
        <v>29618</v>
      </c>
      <c r="D526" s="238">
        <v>41760</v>
      </c>
      <c r="E526" t="str">
        <f>TEXT(D526,"YYYY-MM-DD")</f>
        <v>2014-05-01</v>
      </c>
      <c r="F526" s="237">
        <f>AVERAGEIFS(B:B,C:C,D526)/100</f>
        <v>4.1919999999999999E-2</v>
      </c>
      <c r="G526" t="str">
        <f t="shared" si="17"/>
        <v>('2014-05-01',0.04192),</v>
      </c>
    </row>
    <row r="527" spans="1:7" ht="16.2" x14ac:dyDescent="0.35">
      <c r="A527" s="20">
        <v>29651</v>
      </c>
      <c r="B527" s="21">
        <v>15.4</v>
      </c>
      <c r="C527" s="238">
        <f t="shared" si="16"/>
        <v>29646</v>
      </c>
      <c r="D527" s="238">
        <v>41791</v>
      </c>
      <c r="E527" t="str">
        <f>TEXT(D527,"YYYY-MM-DD")</f>
        <v>2014-06-01</v>
      </c>
      <c r="F527" s="237">
        <f>AVERAGEIFS(B:B,C:C,D527)/100</f>
        <v>4.1624999999999995E-2</v>
      </c>
      <c r="G527" t="str">
        <f t="shared" si="17"/>
        <v>('2014-06-01',0.041625),</v>
      </c>
    </row>
    <row r="528" spans="1:7" ht="16.2" x14ac:dyDescent="0.35">
      <c r="A528" s="20">
        <v>29658</v>
      </c>
      <c r="B528" s="21">
        <v>15.4</v>
      </c>
      <c r="C528" s="238">
        <f t="shared" ref="C528:C591" si="18">EOMONTH(A528,-1)+1</f>
        <v>29646</v>
      </c>
      <c r="D528" s="238">
        <v>41821</v>
      </c>
      <c r="E528" t="str">
        <f>TEXT(D528,"YYYY-MM-DD")</f>
        <v>2014-07-01</v>
      </c>
      <c r="F528" s="237">
        <f>AVERAGEIFS(B:B,C:C,D528)/100</f>
        <v>4.1299999999999996E-2</v>
      </c>
      <c r="G528" t="str">
        <f t="shared" si="17"/>
        <v>('2014-07-01',0.0413),</v>
      </c>
    </row>
    <row r="529" spans="1:7" ht="16.2" x14ac:dyDescent="0.35">
      <c r="A529" s="20">
        <v>29665</v>
      </c>
      <c r="B529" s="21">
        <v>15.4</v>
      </c>
      <c r="C529" s="238">
        <f t="shared" si="18"/>
        <v>29646</v>
      </c>
      <c r="D529" s="238">
        <v>41852</v>
      </c>
      <c r="E529" t="str">
        <f>TEXT(D529,"YYYY-MM-DD")</f>
        <v>2014-08-01</v>
      </c>
      <c r="F529" s="237">
        <f>AVERAGEIFS(B:B,C:C,D529)/100</f>
        <v>4.1149999999999999E-2</v>
      </c>
      <c r="G529" t="str">
        <f t="shared" si="17"/>
        <v>('2014-08-01',0.04115),</v>
      </c>
    </row>
    <row r="530" spans="1:7" ht="16.2" x14ac:dyDescent="0.35">
      <c r="A530" s="20">
        <v>29672</v>
      </c>
      <c r="B530" s="21">
        <v>15.4</v>
      </c>
      <c r="C530" s="238">
        <f t="shared" si="18"/>
        <v>29646</v>
      </c>
      <c r="D530" s="238">
        <v>41883</v>
      </c>
      <c r="E530" t="str">
        <f>TEXT(D530,"YYYY-MM-DD")</f>
        <v>2014-09-01</v>
      </c>
      <c r="F530" s="237">
        <f>AVERAGEIFS(B:B,C:C,D530)/100</f>
        <v>4.1624999999999995E-2</v>
      </c>
      <c r="G530" t="str">
        <f t="shared" si="17"/>
        <v>('2014-09-01',0.041625),</v>
      </c>
    </row>
    <row r="531" spans="1:7" ht="16.2" x14ac:dyDescent="0.35">
      <c r="A531" s="20">
        <v>29679</v>
      </c>
      <c r="B531" s="21">
        <v>15.4</v>
      </c>
      <c r="C531" s="238">
        <f t="shared" si="18"/>
        <v>29677</v>
      </c>
      <c r="D531" s="238">
        <v>41913</v>
      </c>
      <c r="E531" t="str">
        <f>TEXT(D531,"YYYY-MM-DD")</f>
        <v>2014-10-01</v>
      </c>
      <c r="F531" s="237">
        <f>AVERAGEIFS(B:B,C:C,D531)/100</f>
        <v>4.0360000000000007E-2</v>
      </c>
      <c r="G531" t="str">
        <f t="shared" si="17"/>
        <v>('2014-10-01',0.04036),</v>
      </c>
    </row>
    <row r="532" spans="1:7" ht="16.2" x14ac:dyDescent="0.35">
      <c r="A532" s="20">
        <v>29686</v>
      </c>
      <c r="B532" s="21">
        <v>15.5</v>
      </c>
      <c r="C532" s="238">
        <f t="shared" si="18"/>
        <v>29677</v>
      </c>
      <c r="D532" s="238">
        <v>41944</v>
      </c>
      <c r="E532" t="str">
        <f>TEXT(D532,"YYYY-MM-DD")</f>
        <v>2014-11-01</v>
      </c>
      <c r="F532" s="237">
        <f>AVERAGEIFS(B:B,C:C,D532)/100</f>
        <v>3.9975000000000004E-2</v>
      </c>
      <c r="G532" t="str">
        <f t="shared" si="17"/>
        <v>('2014-11-01',0.039975),</v>
      </c>
    </row>
    <row r="533" spans="1:7" ht="16.2" x14ac:dyDescent="0.35">
      <c r="A533" s="20">
        <v>29693</v>
      </c>
      <c r="B533" s="21">
        <v>15.65</v>
      </c>
      <c r="C533" s="238">
        <f t="shared" si="18"/>
        <v>29677</v>
      </c>
      <c r="D533" s="238">
        <v>41974</v>
      </c>
      <c r="E533" t="str">
        <f>TEXT(D533,"YYYY-MM-DD")</f>
        <v>2014-12-01</v>
      </c>
      <c r="F533" s="237">
        <f>AVERAGEIFS(B:B,C:C,D533)/100</f>
        <v>3.8640000000000001E-2</v>
      </c>
      <c r="G533" t="str">
        <f t="shared" si="17"/>
        <v>('2014-12-01',0.03864),</v>
      </c>
    </row>
    <row r="534" spans="1:7" ht="16.2" x14ac:dyDescent="0.35">
      <c r="A534" s="20">
        <v>29700</v>
      </c>
      <c r="B534" s="21">
        <v>15.77</v>
      </c>
      <c r="C534" s="238">
        <f t="shared" si="18"/>
        <v>29677</v>
      </c>
      <c r="D534" s="238">
        <v>42005</v>
      </c>
      <c r="E534" t="str">
        <f>TEXT(D534,"YYYY-MM-DD")</f>
        <v>2015-01-01</v>
      </c>
      <c r="F534" s="237">
        <f>AVERAGEIFS(B:B,C:C,D534)/100</f>
        <v>3.6699999999999997E-2</v>
      </c>
      <c r="G534" t="str">
        <f t="shared" si="17"/>
        <v>('2015-01-01',0.0367),</v>
      </c>
    </row>
    <row r="535" spans="1:7" ht="16.2" x14ac:dyDescent="0.35">
      <c r="A535" s="20">
        <v>29707</v>
      </c>
      <c r="B535" s="21">
        <v>15.82</v>
      </c>
      <c r="C535" s="238">
        <f t="shared" si="18"/>
        <v>29707</v>
      </c>
      <c r="D535" s="238">
        <v>42036</v>
      </c>
      <c r="E535" t="str">
        <f>TEXT(D535,"YYYY-MM-DD")</f>
        <v>2015-02-01</v>
      </c>
      <c r="F535" s="237">
        <f>AVERAGEIFS(B:B,C:C,D535)/100</f>
        <v>3.7100000000000001E-2</v>
      </c>
      <c r="G535" t="str">
        <f t="shared" si="17"/>
        <v>('2015-02-01',0.0371),</v>
      </c>
    </row>
    <row r="536" spans="1:7" ht="16.2" x14ac:dyDescent="0.35">
      <c r="A536" s="20">
        <v>29714</v>
      </c>
      <c r="B536" s="21">
        <v>16.12</v>
      </c>
      <c r="C536" s="238">
        <f t="shared" si="18"/>
        <v>29707</v>
      </c>
      <c r="D536" s="238">
        <v>42064</v>
      </c>
      <c r="E536" t="str">
        <f>TEXT(D536,"YYYY-MM-DD")</f>
        <v>2015-03-01</v>
      </c>
      <c r="F536" s="237">
        <f>AVERAGEIFS(B:B,C:C,D536)/100</f>
        <v>3.7699999999999997E-2</v>
      </c>
      <c r="G536" t="str">
        <f t="shared" si="17"/>
        <v>('2015-03-01',0.0377),</v>
      </c>
    </row>
    <row r="537" spans="1:7" ht="16.2" x14ac:dyDescent="0.35">
      <c r="A537" s="20">
        <v>29721</v>
      </c>
      <c r="B537" s="21">
        <v>16.64</v>
      </c>
      <c r="C537" s="238">
        <f t="shared" si="18"/>
        <v>29707</v>
      </c>
      <c r="D537" s="238">
        <v>42095</v>
      </c>
      <c r="E537" t="str">
        <f>TEXT(D537,"YYYY-MM-DD")</f>
        <v>2015-04-01</v>
      </c>
      <c r="F537" s="237">
        <f>AVERAGEIFS(B:B,C:C,D537)/100</f>
        <v>3.6720000000000003E-2</v>
      </c>
      <c r="G537" t="str">
        <f t="shared" si="17"/>
        <v>('2015-04-01',0.03672),</v>
      </c>
    </row>
    <row r="538" spans="1:7" ht="16.2" x14ac:dyDescent="0.35">
      <c r="A538" s="20">
        <v>29728</v>
      </c>
      <c r="B538" s="21">
        <v>16.63</v>
      </c>
      <c r="C538" s="238">
        <f t="shared" si="18"/>
        <v>29707</v>
      </c>
      <c r="D538" s="238">
        <v>42125</v>
      </c>
      <c r="E538" t="str">
        <f>TEXT(D538,"YYYY-MM-DD")</f>
        <v>2015-05-01</v>
      </c>
      <c r="F538" s="237">
        <f>AVERAGEIFS(B:B,C:C,D538)/100</f>
        <v>3.8399999999999997E-2</v>
      </c>
      <c r="G538" t="str">
        <f t="shared" si="17"/>
        <v>('2015-05-01',0.0384),</v>
      </c>
    </row>
    <row r="539" spans="1:7" ht="16.2" x14ac:dyDescent="0.35">
      <c r="A539" s="20">
        <v>29735</v>
      </c>
      <c r="B539" s="21">
        <v>16.8</v>
      </c>
      <c r="C539" s="238">
        <f t="shared" si="18"/>
        <v>29707</v>
      </c>
      <c r="D539" s="238">
        <v>42156</v>
      </c>
      <c r="E539" t="str">
        <f>TEXT(D539,"YYYY-MM-DD")</f>
        <v>2015-06-01</v>
      </c>
      <c r="F539" s="237">
        <f>AVERAGEIFS(B:B,C:C,D539)/100</f>
        <v>3.9824999999999999E-2</v>
      </c>
      <c r="G539" t="str">
        <f t="shared" si="17"/>
        <v>('2015-06-01',0.039825),</v>
      </c>
    </row>
    <row r="540" spans="1:7" ht="16.2" x14ac:dyDescent="0.35">
      <c r="A540" s="20">
        <v>29742</v>
      </c>
      <c r="B540" s="21">
        <v>16.760000000000002</v>
      </c>
      <c r="C540" s="238">
        <f t="shared" si="18"/>
        <v>29738</v>
      </c>
      <c r="D540" s="238">
        <v>42186</v>
      </c>
      <c r="E540" t="str">
        <f>TEXT(D540,"YYYY-MM-DD")</f>
        <v>2015-07-01</v>
      </c>
      <c r="F540" s="237">
        <f>AVERAGEIFS(B:B,C:C,D540)/100</f>
        <v>4.0460000000000003E-2</v>
      </c>
      <c r="G540" t="str">
        <f t="shared" si="17"/>
        <v>('2015-07-01',0.04046),</v>
      </c>
    </row>
    <row r="541" spans="1:7" ht="16.2" x14ac:dyDescent="0.35">
      <c r="A541" s="20">
        <v>29749</v>
      </c>
      <c r="B541" s="21">
        <v>16.690000000000001</v>
      </c>
      <c r="C541" s="238">
        <f t="shared" si="18"/>
        <v>29738</v>
      </c>
      <c r="D541" s="238">
        <v>42217</v>
      </c>
      <c r="E541" t="str">
        <f>TEXT(D541,"YYYY-MM-DD")</f>
        <v>2015-08-01</v>
      </c>
      <c r="F541" s="237">
        <f>AVERAGEIFS(B:B,C:C,D541)/100</f>
        <v>3.9050000000000001E-2</v>
      </c>
      <c r="G541" t="str">
        <f t="shared" si="17"/>
        <v>('2015-08-01',0.03905),</v>
      </c>
    </row>
    <row r="542" spans="1:7" ht="16.2" x14ac:dyDescent="0.35">
      <c r="A542" s="20">
        <v>29756</v>
      </c>
      <c r="B542" s="21">
        <v>16.71</v>
      </c>
      <c r="C542" s="238">
        <f t="shared" si="18"/>
        <v>29738</v>
      </c>
      <c r="D542" s="238">
        <v>42248</v>
      </c>
      <c r="E542" t="str">
        <f>TEXT(D542,"YYYY-MM-DD")</f>
        <v>2015-09-01</v>
      </c>
      <c r="F542" s="237">
        <f>AVERAGEIFS(B:B,C:C,D542)/100</f>
        <v>3.8899999999999997E-2</v>
      </c>
      <c r="G542" t="str">
        <f t="shared" si="17"/>
        <v>('2015-09-01',0.0389),</v>
      </c>
    </row>
    <row r="543" spans="1:7" ht="16.2" x14ac:dyDescent="0.35">
      <c r="A543" s="20">
        <v>29763</v>
      </c>
      <c r="B543" s="21">
        <v>16.62</v>
      </c>
      <c r="C543" s="238">
        <f t="shared" si="18"/>
        <v>29738</v>
      </c>
      <c r="D543" s="238">
        <v>42278</v>
      </c>
      <c r="E543" t="str">
        <f>TEXT(D543,"YYYY-MM-DD")</f>
        <v>2015-10-01</v>
      </c>
      <c r="F543" s="237">
        <f>AVERAGEIFS(B:B,C:C,D543)/100</f>
        <v>3.7959999999999994E-2</v>
      </c>
      <c r="G543" t="str">
        <f t="shared" si="17"/>
        <v>('2015-10-01',0.03796),</v>
      </c>
    </row>
    <row r="544" spans="1:7" ht="16.2" x14ac:dyDescent="0.35">
      <c r="A544" s="20">
        <v>29770</v>
      </c>
      <c r="B544" s="21">
        <v>16.64</v>
      </c>
      <c r="C544" s="238">
        <f t="shared" si="18"/>
        <v>29768</v>
      </c>
      <c r="D544" s="238">
        <v>42309</v>
      </c>
      <c r="E544" t="str">
        <f>TEXT(D544,"YYYY-MM-DD")</f>
        <v>2015-11-01</v>
      </c>
      <c r="F544" s="237">
        <f>AVERAGEIFS(B:B,C:C,D544)/100</f>
        <v>3.9425000000000002E-2</v>
      </c>
      <c r="G544" t="str">
        <f t="shared" si="17"/>
        <v>('2015-11-01',0.039425),</v>
      </c>
    </row>
    <row r="545" spans="1:7" ht="16.2" x14ac:dyDescent="0.35">
      <c r="A545" s="20">
        <v>29777</v>
      </c>
      <c r="B545" s="21">
        <v>16.79</v>
      </c>
      <c r="C545" s="238">
        <f t="shared" si="18"/>
        <v>29768</v>
      </c>
      <c r="D545" s="238">
        <v>42339</v>
      </c>
      <c r="E545" t="str">
        <f>TEXT(D545,"YYYY-MM-DD")</f>
        <v>2015-12-01</v>
      </c>
      <c r="F545" s="237">
        <f>AVERAGEIFS(B:B,C:C,D545)/100</f>
        <v>3.9640000000000002E-2</v>
      </c>
      <c r="G545" t="str">
        <f t="shared" si="17"/>
        <v>('2015-12-01',0.03964),</v>
      </c>
    </row>
    <row r="546" spans="1:7" ht="16.2" x14ac:dyDescent="0.35">
      <c r="A546" s="20">
        <v>29784</v>
      </c>
      <c r="B546" s="21">
        <v>16.739999999999998</v>
      </c>
      <c r="C546" s="238">
        <f t="shared" si="18"/>
        <v>29768</v>
      </c>
      <c r="D546" s="238">
        <v>42370</v>
      </c>
      <c r="E546" t="str">
        <f>TEXT(D546,"YYYY-MM-DD")</f>
        <v>2016-01-01</v>
      </c>
      <c r="F546" s="237">
        <f>AVERAGEIFS(B:B,C:C,D546)/100</f>
        <v>3.8725000000000002E-2</v>
      </c>
      <c r="G546" t="str">
        <f t="shared" si="17"/>
        <v>('2016-01-01',0.038725),</v>
      </c>
    </row>
    <row r="547" spans="1:7" ht="16.2" x14ac:dyDescent="0.35">
      <c r="A547" s="20">
        <v>29791</v>
      </c>
      <c r="B547" s="21">
        <v>16.88</v>
      </c>
      <c r="C547" s="238">
        <f t="shared" si="18"/>
        <v>29768</v>
      </c>
      <c r="D547" s="238">
        <v>42401</v>
      </c>
      <c r="E547" t="str">
        <f>TEXT(D547,"YYYY-MM-DD")</f>
        <v>2016-02-01</v>
      </c>
      <c r="F547" s="237">
        <f>AVERAGEIFS(B:B,C:C,D547)/100</f>
        <v>3.6600000000000001E-2</v>
      </c>
      <c r="G547" t="str">
        <f t="shared" si="17"/>
        <v>('2016-02-01',0.0366),</v>
      </c>
    </row>
    <row r="548" spans="1:7" ht="16.2" x14ac:dyDescent="0.35">
      <c r="A548" s="20">
        <v>29798</v>
      </c>
      <c r="B548" s="21">
        <v>17.11</v>
      </c>
      <c r="C548" s="238">
        <f t="shared" si="18"/>
        <v>29768</v>
      </c>
      <c r="D548" s="238">
        <v>42430</v>
      </c>
      <c r="E548" t="str">
        <f>TEXT(D548,"YYYY-MM-DD")</f>
        <v>2016-03-01</v>
      </c>
      <c r="F548" s="237">
        <f>AVERAGEIFS(B:B,C:C,D548)/100</f>
        <v>3.6940000000000001E-2</v>
      </c>
      <c r="G548" t="str">
        <f t="shared" si="17"/>
        <v>('2016-03-01',0.03694),</v>
      </c>
    </row>
    <row r="549" spans="1:7" ht="16.2" x14ac:dyDescent="0.35">
      <c r="A549" s="20">
        <v>29805</v>
      </c>
      <c r="B549" s="21">
        <v>17.13</v>
      </c>
      <c r="C549" s="238">
        <f t="shared" si="18"/>
        <v>29799</v>
      </c>
      <c r="D549" s="238">
        <v>42461</v>
      </c>
      <c r="E549" t="str">
        <f>TEXT(D549,"YYYY-MM-DD")</f>
        <v>2016-04-01</v>
      </c>
      <c r="F549" s="237">
        <f>AVERAGEIFS(B:B,C:C,D549)/100</f>
        <v>3.6049999999999999E-2</v>
      </c>
      <c r="G549" t="str">
        <f t="shared" si="17"/>
        <v>('2016-04-01',0.03605),</v>
      </c>
    </row>
    <row r="550" spans="1:7" ht="16.2" x14ac:dyDescent="0.35">
      <c r="A550" s="20">
        <v>29812</v>
      </c>
      <c r="B550" s="21">
        <v>17.27</v>
      </c>
      <c r="C550" s="238">
        <f t="shared" si="18"/>
        <v>29799</v>
      </c>
      <c r="D550" s="238">
        <v>42491</v>
      </c>
      <c r="E550" t="str">
        <f>TEXT(D550,"YYYY-MM-DD")</f>
        <v>2016-05-01</v>
      </c>
      <c r="F550" s="237">
        <f>AVERAGEIFS(B:B,C:C,D550)/100</f>
        <v>3.6000000000000004E-2</v>
      </c>
      <c r="G550" t="str">
        <f t="shared" si="17"/>
        <v>('2016-05-01',0.036),</v>
      </c>
    </row>
    <row r="551" spans="1:7" ht="16.2" x14ac:dyDescent="0.35">
      <c r="A551" s="20">
        <v>29819</v>
      </c>
      <c r="B551" s="21">
        <v>17.260000000000002</v>
      </c>
      <c r="C551" s="238">
        <f t="shared" si="18"/>
        <v>29799</v>
      </c>
      <c r="D551" s="238">
        <v>42522</v>
      </c>
      <c r="E551" t="str">
        <f>TEXT(D551,"YYYY-MM-DD")</f>
        <v>2016-06-01</v>
      </c>
      <c r="F551" s="237">
        <f>AVERAGEIFS(B:B,C:C,D551)/100</f>
        <v>3.5680000000000003E-2</v>
      </c>
      <c r="G551" t="str">
        <f t="shared" si="17"/>
        <v>('2016-06-01',0.03568),</v>
      </c>
    </row>
    <row r="552" spans="1:7" ht="16.2" x14ac:dyDescent="0.35">
      <c r="A552" s="20">
        <v>29826</v>
      </c>
      <c r="B552" s="21">
        <v>17.48</v>
      </c>
      <c r="C552" s="238">
        <f t="shared" si="18"/>
        <v>29799</v>
      </c>
      <c r="D552" s="238">
        <v>42552</v>
      </c>
      <c r="E552" t="str">
        <f>TEXT(D552,"YYYY-MM-DD")</f>
        <v>2016-07-01</v>
      </c>
      <c r="F552" s="237">
        <f>AVERAGEIFS(B:B,C:C,D552)/100</f>
        <v>3.4400000000000007E-2</v>
      </c>
      <c r="G552" t="str">
        <f t="shared" si="17"/>
        <v>('2016-07-01',0.0344),</v>
      </c>
    </row>
    <row r="553" spans="1:7" ht="16.2" x14ac:dyDescent="0.35">
      <c r="A553" s="20">
        <v>29833</v>
      </c>
      <c r="B553" s="21">
        <v>17.79</v>
      </c>
      <c r="C553" s="238">
        <f t="shared" si="18"/>
        <v>29830</v>
      </c>
      <c r="D553" s="238">
        <v>42583</v>
      </c>
      <c r="E553" t="str">
        <f>TEXT(D553,"YYYY-MM-DD")</f>
        <v>2016-08-01</v>
      </c>
      <c r="F553" s="237">
        <f>AVERAGEIFS(B:B,C:C,D553)/100</f>
        <v>3.4349999999999999E-2</v>
      </c>
      <c r="G553" t="str">
        <f t="shared" si="17"/>
        <v>('2016-08-01',0.03435),</v>
      </c>
    </row>
    <row r="554" spans="1:7" ht="16.2" x14ac:dyDescent="0.35">
      <c r="A554" s="20">
        <v>29840</v>
      </c>
      <c r="B554" s="21">
        <v>18.22</v>
      </c>
      <c r="C554" s="238">
        <f t="shared" si="18"/>
        <v>29830</v>
      </c>
      <c r="D554" s="238">
        <v>42614</v>
      </c>
      <c r="E554" t="str">
        <f>TEXT(D554,"YYYY-MM-DD")</f>
        <v>2016-09-01</v>
      </c>
      <c r="F554" s="237">
        <f>AVERAGEIFS(B:B,C:C,D554)/100</f>
        <v>3.4599999999999999E-2</v>
      </c>
      <c r="G554" t="str">
        <f t="shared" si="17"/>
        <v>('2016-09-01',0.0346),</v>
      </c>
    </row>
    <row r="555" spans="1:7" ht="16.2" x14ac:dyDescent="0.35">
      <c r="A555" s="20">
        <v>29847</v>
      </c>
      <c r="B555" s="21">
        <v>18.27</v>
      </c>
      <c r="C555" s="238">
        <f t="shared" si="18"/>
        <v>29830</v>
      </c>
      <c r="D555" s="238">
        <v>42644</v>
      </c>
      <c r="E555" t="str">
        <f>TEXT(D555,"YYYY-MM-DD")</f>
        <v>2016-10-01</v>
      </c>
      <c r="F555" s="237">
        <f>AVERAGEIFS(B:B,C:C,D555)/100</f>
        <v>3.4700000000000002E-2</v>
      </c>
      <c r="G555" t="str">
        <f t="shared" si="17"/>
        <v>('2016-10-01',0.0347),</v>
      </c>
    </row>
    <row r="556" spans="1:7" ht="16.2" x14ac:dyDescent="0.35">
      <c r="A556" s="20">
        <v>29854</v>
      </c>
      <c r="B556" s="21">
        <v>18.36</v>
      </c>
      <c r="C556" s="238">
        <f t="shared" si="18"/>
        <v>29830</v>
      </c>
      <c r="D556" s="238">
        <v>42675</v>
      </c>
      <c r="E556" t="str">
        <f>TEXT(D556,"YYYY-MM-DD")</f>
        <v>2016-11-01</v>
      </c>
      <c r="F556" s="237">
        <f>AVERAGEIFS(B:B,C:C,D556)/100</f>
        <v>3.7699999999999997E-2</v>
      </c>
      <c r="G556" t="str">
        <f t="shared" si="17"/>
        <v>('2016-11-01',0.0377),</v>
      </c>
    </row>
    <row r="557" spans="1:7" ht="16.2" x14ac:dyDescent="0.35">
      <c r="A557" s="20">
        <v>29861</v>
      </c>
      <c r="B557" s="21">
        <v>18.28</v>
      </c>
      <c r="C557" s="238">
        <f t="shared" si="18"/>
        <v>29860</v>
      </c>
      <c r="D557" s="238">
        <v>42705</v>
      </c>
      <c r="E557" t="str">
        <f>TEXT(D557,"YYYY-MM-DD")</f>
        <v>2016-12-01</v>
      </c>
      <c r="F557" s="237">
        <f>AVERAGEIFS(B:B,C:C,D557)/100</f>
        <v>4.1980000000000003E-2</v>
      </c>
      <c r="G557" t="str">
        <f t="shared" si="17"/>
        <v>('2016-12-01',0.04198),</v>
      </c>
    </row>
    <row r="558" spans="1:7" ht="16.2" x14ac:dyDescent="0.35">
      <c r="A558" s="20">
        <v>29868</v>
      </c>
      <c r="B558" s="21">
        <v>18.63</v>
      </c>
      <c r="C558" s="238">
        <f t="shared" si="18"/>
        <v>29860</v>
      </c>
      <c r="D558" s="238">
        <v>42736</v>
      </c>
      <c r="E558" t="str">
        <f>TEXT(D558,"YYYY-MM-DD")</f>
        <v>2017-01-01</v>
      </c>
      <c r="F558" s="237">
        <f>AVERAGEIFS(B:B,C:C,D558)/100</f>
        <v>4.1500000000000002E-2</v>
      </c>
      <c r="G558" t="str">
        <f t="shared" si="17"/>
        <v>('2017-01-01',0.0415),</v>
      </c>
    </row>
    <row r="559" spans="1:7" ht="16.2" x14ac:dyDescent="0.35">
      <c r="A559" s="20">
        <v>29875</v>
      </c>
      <c r="B559" s="21">
        <v>18.53</v>
      </c>
      <c r="C559" s="238">
        <f t="shared" si="18"/>
        <v>29860</v>
      </c>
      <c r="D559" s="238">
        <v>42767</v>
      </c>
      <c r="E559" t="str">
        <f>TEXT(D559,"YYYY-MM-DD")</f>
        <v>2017-02-01</v>
      </c>
      <c r="F559" s="237">
        <f>AVERAGEIFS(B:B,C:C,D559)/100</f>
        <v>4.1675000000000004E-2</v>
      </c>
      <c r="G559" t="str">
        <f t="shared" si="17"/>
        <v>('2017-02-01',0.041675),</v>
      </c>
    </row>
    <row r="560" spans="1:7" ht="16.2" x14ac:dyDescent="0.35">
      <c r="A560" s="20">
        <v>29880</v>
      </c>
      <c r="B560" s="21">
        <v>18.39</v>
      </c>
      <c r="C560" s="238">
        <f t="shared" si="18"/>
        <v>29860</v>
      </c>
      <c r="D560" s="238">
        <v>42795</v>
      </c>
      <c r="E560" t="str">
        <f>TEXT(D560,"YYYY-MM-DD")</f>
        <v>2017-03-01</v>
      </c>
      <c r="F560" s="237">
        <f>AVERAGEIFS(B:B,C:C,D560)/100</f>
        <v>4.1959999999999997E-2</v>
      </c>
      <c r="G560" t="str">
        <f t="shared" si="17"/>
        <v>('2017-03-01',0.04196),</v>
      </c>
    </row>
    <row r="561" spans="1:7" ht="16.2" x14ac:dyDescent="0.35">
      <c r="A561" s="20">
        <v>29889</v>
      </c>
      <c r="B561" s="21">
        <v>18.440000000000001</v>
      </c>
      <c r="C561" s="238">
        <f t="shared" si="18"/>
        <v>29860</v>
      </c>
      <c r="D561" s="238">
        <v>42826</v>
      </c>
      <c r="E561" t="str">
        <f>TEXT(D561,"YYYY-MM-DD")</f>
        <v>2017-04-01</v>
      </c>
      <c r="F561" s="237">
        <f>AVERAGEIFS(B:B,C:C,D561)/100</f>
        <v>4.045E-2</v>
      </c>
      <c r="G561" t="str">
        <f t="shared" si="17"/>
        <v>('2017-04-01',0.04045),</v>
      </c>
    </row>
    <row r="562" spans="1:7" ht="16.2" x14ac:dyDescent="0.35">
      <c r="A562" s="20">
        <v>29896</v>
      </c>
      <c r="B562" s="21">
        <v>18.37</v>
      </c>
      <c r="C562" s="238">
        <f t="shared" si="18"/>
        <v>29891</v>
      </c>
      <c r="D562" s="238">
        <v>42856</v>
      </c>
      <c r="E562" t="str">
        <f>TEXT(D562,"YYYY-MM-DD")</f>
        <v>2017-05-01</v>
      </c>
      <c r="F562" s="237">
        <f>AVERAGEIFS(B:B,C:C,D562)/100</f>
        <v>4.0099999999999997E-2</v>
      </c>
      <c r="G562" t="str">
        <f t="shared" si="17"/>
        <v>('2017-05-01',0.0401),</v>
      </c>
    </row>
    <row r="563" spans="1:7" ht="16.2" x14ac:dyDescent="0.35">
      <c r="A563" s="20">
        <v>29903</v>
      </c>
      <c r="B563" s="21">
        <v>18.02</v>
      </c>
      <c r="C563" s="238">
        <f t="shared" si="18"/>
        <v>29891</v>
      </c>
      <c r="D563" s="238">
        <v>42887</v>
      </c>
      <c r="E563" t="str">
        <f>TEXT(D563,"YYYY-MM-DD")</f>
        <v>2017-06-01</v>
      </c>
      <c r="F563" s="237">
        <f>AVERAGEIFS(B:B,C:C,D563)/100</f>
        <v>3.9039999999999998E-2</v>
      </c>
      <c r="G563" t="str">
        <f t="shared" si="17"/>
        <v>('2017-06-01',0.03904),</v>
      </c>
    </row>
    <row r="564" spans="1:7" ht="16.2" x14ac:dyDescent="0.35">
      <c r="A564" s="20">
        <v>29910</v>
      </c>
      <c r="B564" s="21">
        <v>17.7</v>
      </c>
      <c r="C564" s="238">
        <f t="shared" si="18"/>
        <v>29891</v>
      </c>
      <c r="D564" s="238">
        <v>42917</v>
      </c>
      <c r="E564" t="str">
        <f>TEXT(D564,"YYYY-MM-DD")</f>
        <v>2017-07-01</v>
      </c>
      <c r="F564" s="237">
        <f>AVERAGEIFS(B:B,C:C,D564)/100</f>
        <v>3.9674999999999995E-2</v>
      </c>
      <c r="G564" t="str">
        <f t="shared" si="17"/>
        <v>('2017-07-01',0.039675),</v>
      </c>
    </row>
    <row r="565" spans="1:7" ht="16.2" x14ac:dyDescent="0.35">
      <c r="A565" s="20">
        <v>29917</v>
      </c>
      <c r="B565" s="21">
        <v>17.21</v>
      </c>
      <c r="C565" s="238">
        <f t="shared" si="18"/>
        <v>29891</v>
      </c>
      <c r="D565" s="238">
        <v>42948</v>
      </c>
      <c r="E565" t="str">
        <f>TEXT(D565,"YYYY-MM-DD")</f>
        <v>2017-08-01</v>
      </c>
      <c r="F565" s="237">
        <f>AVERAGEIFS(B:B,C:C,D565)/100</f>
        <v>3.8800000000000001E-2</v>
      </c>
      <c r="G565" t="str">
        <f t="shared" si="17"/>
        <v>('2017-08-01',0.0388),</v>
      </c>
    </row>
    <row r="566" spans="1:7" ht="16.2" x14ac:dyDescent="0.35">
      <c r="A566" s="20">
        <v>29924</v>
      </c>
      <c r="B566" s="21">
        <v>16.899999999999999</v>
      </c>
      <c r="C566" s="238">
        <f t="shared" si="18"/>
        <v>29921</v>
      </c>
      <c r="D566" s="238">
        <v>42979</v>
      </c>
      <c r="E566" t="str">
        <f>TEXT(D566,"YYYY-MM-DD")</f>
        <v>2017-09-01</v>
      </c>
      <c r="F566" s="237">
        <f>AVERAGEIFS(B:B,C:C,D566)/100</f>
        <v>3.805E-2</v>
      </c>
      <c r="G566" t="str">
        <f t="shared" si="17"/>
        <v>('2017-09-01',0.03805),</v>
      </c>
    </row>
    <row r="567" spans="1:7" ht="16.2" x14ac:dyDescent="0.35">
      <c r="A567" s="20">
        <v>29931</v>
      </c>
      <c r="B567" s="21">
        <v>16.940000000000001</v>
      </c>
      <c r="C567" s="238">
        <f t="shared" si="18"/>
        <v>29921</v>
      </c>
      <c r="D567" s="238">
        <v>43009</v>
      </c>
      <c r="E567" t="str">
        <f>TEXT(D567,"YYYY-MM-DD")</f>
        <v>2017-10-01</v>
      </c>
      <c r="F567" s="237">
        <f>AVERAGEIFS(B:B,C:C,D567)/100</f>
        <v>3.8949999999999999E-2</v>
      </c>
      <c r="G567" t="str">
        <f t="shared" si="17"/>
        <v>('2017-10-01',0.03895),</v>
      </c>
    </row>
    <row r="568" spans="1:7" ht="16.2" x14ac:dyDescent="0.35">
      <c r="A568" s="20">
        <v>29938</v>
      </c>
      <c r="B568" s="21">
        <v>16.899999999999999</v>
      </c>
      <c r="C568" s="238">
        <f t="shared" si="18"/>
        <v>29921</v>
      </c>
      <c r="D568" s="238">
        <v>43040</v>
      </c>
      <c r="E568" t="str">
        <f>TEXT(D568,"YYYY-MM-DD")</f>
        <v>2017-11-01</v>
      </c>
      <c r="F568" s="237">
        <f>AVERAGEIFS(B:B,C:C,D568)/100</f>
        <v>3.9219999999999998E-2</v>
      </c>
      <c r="G568" t="str">
        <f t="shared" si="17"/>
        <v>('2017-11-01',0.03922),</v>
      </c>
    </row>
    <row r="569" spans="1:7" ht="16.2" x14ac:dyDescent="0.35">
      <c r="A569" s="20">
        <v>29945</v>
      </c>
      <c r="B569" s="21">
        <v>16.95</v>
      </c>
      <c r="C569" s="238">
        <f t="shared" si="18"/>
        <v>29921</v>
      </c>
      <c r="D569" s="238">
        <v>43070</v>
      </c>
      <c r="E569" t="str">
        <f>TEXT(D569,"YYYY-MM-DD")</f>
        <v>2017-12-01</v>
      </c>
      <c r="F569" s="237">
        <f>AVERAGEIFS(B:B,C:C,D569)/100</f>
        <v>3.95E-2</v>
      </c>
      <c r="G569" t="str">
        <f t="shared" si="17"/>
        <v>('2017-12-01',0.0395),</v>
      </c>
    </row>
    <row r="570" spans="1:7" ht="16.2" x14ac:dyDescent="0.35">
      <c r="A570" s="20">
        <v>29951</v>
      </c>
      <c r="B570" s="21">
        <v>17.04</v>
      </c>
      <c r="C570" s="238">
        <f t="shared" si="18"/>
        <v>29921</v>
      </c>
      <c r="D570" s="238">
        <v>43101</v>
      </c>
      <c r="E570" t="str">
        <f>TEXT(D570,"YYYY-MM-DD")</f>
        <v>2018-01-01</v>
      </c>
      <c r="F570" s="237">
        <f>AVERAGEIFS(B:B,C:C,D570)/100</f>
        <v>4.0325000000000007E-2</v>
      </c>
      <c r="G570" t="str">
        <f t="shared" si="17"/>
        <v>('2018-01-01',0.040325),</v>
      </c>
    </row>
    <row r="571" spans="1:7" ht="16.2" x14ac:dyDescent="0.35">
      <c r="A571" s="20">
        <v>29959</v>
      </c>
      <c r="B571" s="21">
        <v>17.3</v>
      </c>
      <c r="C571" s="238">
        <f t="shared" si="18"/>
        <v>29952</v>
      </c>
      <c r="D571" s="238">
        <v>43132</v>
      </c>
      <c r="E571" t="str">
        <f>TEXT(D571,"YYYY-MM-DD")</f>
        <v>2018-02-01</v>
      </c>
      <c r="F571" s="237">
        <f>AVERAGEIFS(B:B,C:C,D571)/100</f>
        <v>4.3299999999999998E-2</v>
      </c>
      <c r="G571" t="str">
        <f t="shared" si="17"/>
        <v>('2018-02-01',0.0433),</v>
      </c>
    </row>
    <row r="572" spans="1:7" ht="16.2" x14ac:dyDescent="0.35">
      <c r="A572" s="20">
        <v>29966</v>
      </c>
      <c r="B572" s="21">
        <v>17.440000000000001</v>
      </c>
      <c r="C572" s="238">
        <f t="shared" si="18"/>
        <v>29952</v>
      </c>
      <c r="D572" s="238">
        <v>43160</v>
      </c>
      <c r="E572" t="str">
        <f>TEXT(D572,"YYYY-MM-DD")</f>
        <v>2018-03-01</v>
      </c>
      <c r="F572" s="237">
        <f>AVERAGEIFS(B:B,C:C,D572)/100</f>
        <v>4.4440000000000007E-2</v>
      </c>
      <c r="G572" t="str">
        <f t="shared" si="17"/>
        <v>('2018-03-01',0.04444),</v>
      </c>
    </row>
    <row r="573" spans="1:7" ht="16.2" x14ac:dyDescent="0.35">
      <c r="A573" s="20">
        <v>29973</v>
      </c>
      <c r="B573" s="21">
        <v>17.61</v>
      </c>
      <c r="C573" s="238">
        <f t="shared" si="18"/>
        <v>29952</v>
      </c>
      <c r="D573" s="238">
        <v>43191</v>
      </c>
      <c r="E573" t="str">
        <f>TEXT(D573,"YYYY-MM-DD")</f>
        <v>2018-04-01</v>
      </c>
      <c r="F573" s="237">
        <f>AVERAGEIFS(B:B,C:C,D573)/100</f>
        <v>4.4674999999999992E-2</v>
      </c>
      <c r="G573" t="str">
        <f t="shared" si="17"/>
        <v>('2018-04-01',0.044675),</v>
      </c>
    </row>
    <row r="574" spans="1:7" ht="16.2" x14ac:dyDescent="0.35">
      <c r="A574" s="20">
        <v>29980</v>
      </c>
      <c r="B574" s="21">
        <v>17.59</v>
      </c>
      <c r="C574" s="238">
        <f t="shared" si="18"/>
        <v>29952</v>
      </c>
      <c r="D574" s="238">
        <v>43221</v>
      </c>
      <c r="E574" t="str">
        <f>TEXT(D574,"YYYY-MM-DD")</f>
        <v>2018-05-01</v>
      </c>
      <c r="F574" s="237">
        <f>AVERAGEIFS(B:B,C:C,D574)/100</f>
        <v>4.5860000000000005E-2</v>
      </c>
      <c r="G574" t="str">
        <f t="shared" si="17"/>
        <v>('2018-05-01',0.04586),</v>
      </c>
    </row>
    <row r="575" spans="1:7" ht="16.2" x14ac:dyDescent="0.35">
      <c r="A575" s="20">
        <v>29987</v>
      </c>
      <c r="B575" s="21">
        <v>17.559999999999999</v>
      </c>
      <c r="C575" s="238">
        <f t="shared" si="18"/>
        <v>29983</v>
      </c>
      <c r="D575" s="238">
        <v>43252</v>
      </c>
      <c r="E575" t="str">
        <f>TEXT(D575,"YYYY-MM-DD")</f>
        <v>2018-06-01</v>
      </c>
      <c r="F575" s="237">
        <f>AVERAGEIFS(B:B,C:C,D575)/100</f>
        <v>4.5700000000000005E-2</v>
      </c>
      <c r="G575" t="str">
        <f t="shared" si="17"/>
        <v>('2018-06-01',0.0457),</v>
      </c>
    </row>
    <row r="576" spans="1:7" ht="16.2" x14ac:dyDescent="0.35">
      <c r="A576" s="20">
        <v>29994</v>
      </c>
      <c r="B576" s="21">
        <v>17.649999999999999</v>
      </c>
      <c r="C576" s="238">
        <f t="shared" si="18"/>
        <v>29983</v>
      </c>
      <c r="D576" s="238">
        <v>43282</v>
      </c>
      <c r="E576" t="str">
        <f>TEXT(D576,"YYYY-MM-DD")</f>
        <v>2018-07-01</v>
      </c>
      <c r="F576" s="237">
        <f>AVERAGEIFS(B:B,C:C,D576)/100</f>
        <v>4.5274999999999996E-2</v>
      </c>
      <c r="G576" t="str">
        <f t="shared" si="17"/>
        <v>('2018-07-01',0.045275),</v>
      </c>
    </row>
    <row r="577" spans="1:7" ht="16.2" x14ac:dyDescent="0.35">
      <c r="A577" s="20">
        <v>30001</v>
      </c>
      <c r="B577" s="21">
        <v>17.66</v>
      </c>
      <c r="C577" s="238">
        <f t="shared" si="18"/>
        <v>29983</v>
      </c>
      <c r="D577" s="238">
        <v>43313</v>
      </c>
      <c r="E577" t="str">
        <f>TEXT(D577,"YYYY-MM-DD")</f>
        <v>2018-08-01</v>
      </c>
      <c r="F577" s="237">
        <f>AVERAGEIFS(B:B,C:C,D577)/100</f>
        <v>4.5499999999999992E-2</v>
      </c>
      <c r="G577" t="str">
        <f t="shared" si="17"/>
        <v>('2018-08-01',0.0455),</v>
      </c>
    </row>
    <row r="578" spans="1:7" ht="16.2" x14ac:dyDescent="0.35">
      <c r="A578" s="20">
        <v>30008</v>
      </c>
      <c r="B578" s="21">
        <v>17.52</v>
      </c>
      <c r="C578" s="238">
        <f t="shared" si="18"/>
        <v>29983</v>
      </c>
      <c r="D578" s="238">
        <v>43344</v>
      </c>
      <c r="E578" t="str">
        <f>TEXT(D578,"YYYY-MM-DD")</f>
        <v>2018-09-01</v>
      </c>
      <c r="F578" s="237">
        <f>AVERAGEIFS(B:B,C:C,D578)/100</f>
        <v>4.6275000000000004E-2</v>
      </c>
      <c r="G578" t="str">
        <f t="shared" si="17"/>
        <v>('2018-09-01',0.046275),</v>
      </c>
    </row>
    <row r="579" spans="1:7" ht="16.2" x14ac:dyDescent="0.35">
      <c r="A579" s="20">
        <v>30015</v>
      </c>
      <c r="B579" s="21">
        <v>17.29</v>
      </c>
      <c r="C579" s="238">
        <f t="shared" si="18"/>
        <v>30011</v>
      </c>
      <c r="D579" s="238">
        <v>43374</v>
      </c>
      <c r="E579" t="str">
        <f>TEXT(D579,"YYYY-MM-DD")</f>
        <v>2018-10-01</v>
      </c>
      <c r="F579" s="237">
        <f>AVERAGEIFS(B:B,C:C,D579)/100</f>
        <v>4.8300000000000003E-2</v>
      </c>
      <c r="G579" t="str">
        <f t="shared" si="17"/>
        <v>('2018-10-01',0.0483),</v>
      </c>
    </row>
    <row r="580" spans="1:7" ht="16.2" x14ac:dyDescent="0.35">
      <c r="A580" s="20">
        <v>30022</v>
      </c>
      <c r="B580" s="21">
        <v>17.190000000000001</v>
      </c>
      <c r="C580" s="238">
        <f t="shared" si="18"/>
        <v>30011</v>
      </c>
      <c r="D580" s="238">
        <v>43405</v>
      </c>
      <c r="E580" t="str">
        <f>TEXT(D580,"YYYY-MM-DD")</f>
        <v>2018-11-01</v>
      </c>
      <c r="F580" s="237">
        <f>AVERAGEIFS(B:B,C:C,D580)/100</f>
        <v>4.8659999999999995E-2</v>
      </c>
      <c r="G580" t="str">
        <f t="shared" si="17"/>
        <v>('2018-11-01',0.04866),</v>
      </c>
    </row>
    <row r="581" spans="1:7" ht="16.2" x14ac:dyDescent="0.35">
      <c r="A581" s="20">
        <v>30029</v>
      </c>
      <c r="B581" s="21">
        <v>17.12</v>
      </c>
      <c r="C581" s="238">
        <f t="shared" si="18"/>
        <v>30011</v>
      </c>
      <c r="D581" s="238">
        <v>43435</v>
      </c>
      <c r="E581" t="str">
        <f>TEXT(D581,"YYYY-MM-DD")</f>
        <v>2018-12-01</v>
      </c>
      <c r="F581" s="237">
        <f>AVERAGEIFS(B:B,C:C,D581)/100</f>
        <v>4.6375E-2</v>
      </c>
      <c r="G581" t="str">
        <f t="shared" si="17"/>
        <v>('2018-12-01',0.046375),</v>
      </c>
    </row>
    <row r="582" spans="1:7" ht="16.2" x14ac:dyDescent="0.35">
      <c r="A582" s="20">
        <v>30036</v>
      </c>
      <c r="B582" s="21">
        <v>17.04</v>
      </c>
      <c r="C582" s="238">
        <f t="shared" si="18"/>
        <v>30011</v>
      </c>
      <c r="D582" s="238">
        <v>43466</v>
      </c>
      <c r="E582" t="str">
        <f>TEXT(D582,"YYYY-MM-DD")</f>
        <v>2019-01-01</v>
      </c>
      <c r="F582" s="237">
        <f>AVERAGEIFS(B:B,C:C,D582)/100</f>
        <v>4.4640000000000006E-2</v>
      </c>
      <c r="G582" t="str">
        <f t="shared" si="17"/>
        <v>('2019-01-01',0.04464),</v>
      </c>
    </row>
    <row r="583" spans="1:7" ht="16.2" x14ac:dyDescent="0.35">
      <c r="A583" s="20">
        <v>30043</v>
      </c>
      <c r="B583" s="21">
        <v>16.95</v>
      </c>
      <c r="C583" s="238">
        <f t="shared" si="18"/>
        <v>30042</v>
      </c>
      <c r="D583" s="238">
        <v>43497</v>
      </c>
      <c r="E583" t="str">
        <f>TEXT(D583,"YYYY-MM-DD")</f>
        <v>2019-02-01</v>
      </c>
      <c r="F583" s="237">
        <f>AVERAGEIFS(B:B,C:C,D583)/100</f>
        <v>4.3700000000000003E-2</v>
      </c>
      <c r="G583" t="str">
        <f t="shared" si="17"/>
        <v>('2019-02-01',0.0437),</v>
      </c>
    </row>
    <row r="584" spans="1:7" ht="16.2" x14ac:dyDescent="0.35">
      <c r="A584" s="20">
        <v>30050</v>
      </c>
      <c r="B584" s="21">
        <v>16.91</v>
      </c>
      <c r="C584" s="238">
        <f t="shared" si="18"/>
        <v>30042</v>
      </c>
      <c r="D584" s="238">
        <v>43525</v>
      </c>
      <c r="E584" t="str">
        <f>TEXT(D584,"YYYY-MM-DD")</f>
        <v>2019-03-01</v>
      </c>
      <c r="F584" s="237">
        <f>AVERAGEIFS(B:B,C:C,D584)/100</f>
        <v>4.2649999999999993E-2</v>
      </c>
      <c r="G584" t="str">
        <f t="shared" si="17"/>
        <v>('2019-03-01',0.04265),</v>
      </c>
    </row>
    <row r="585" spans="1:7" ht="16.2" x14ac:dyDescent="0.35">
      <c r="A585" s="20">
        <v>30057</v>
      </c>
      <c r="B585" s="21">
        <v>16.93</v>
      </c>
      <c r="C585" s="238">
        <f t="shared" si="18"/>
        <v>30042</v>
      </c>
      <c r="D585" s="238">
        <v>43556</v>
      </c>
      <c r="E585" t="str">
        <f>TEXT(D585,"YYYY-MM-DD")</f>
        <v>2019-04-01</v>
      </c>
      <c r="F585" s="237">
        <f>AVERAGEIFS(B:B,C:C,D585)/100</f>
        <v>4.1425000000000003E-2</v>
      </c>
      <c r="G585" t="str">
        <f t="shared" si="17"/>
        <v>('2019-04-01',0.041425),</v>
      </c>
    </row>
    <row r="586" spans="1:7" ht="16.2" x14ac:dyDescent="0.35">
      <c r="A586" s="20">
        <v>30064</v>
      </c>
      <c r="B586" s="21">
        <v>16.86</v>
      </c>
      <c r="C586" s="238">
        <f t="shared" si="18"/>
        <v>30042</v>
      </c>
      <c r="D586" s="238">
        <v>43586</v>
      </c>
      <c r="E586" t="str">
        <f>TEXT(D586,"YYYY-MM-DD")</f>
        <v>2019-05-01</v>
      </c>
      <c r="F586" s="237">
        <f>AVERAGEIFS(B:B,C:C,D586)/100</f>
        <v>4.0719999999999999E-2</v>
      </c>
      <c r="G586" t="str">
        <f t="shared" si="17"/>
        <v>('2019-05-01',0.04072),</v>
      </c>
    </row>
    <row r="587" spans="1:7" ht="16.2" x14ac:dyDescent="0.35">
      <c r="A587" s="20">
        <v>30071</v>
      </c>
      <c r="B587" s="21">
        <v>16.809999999999999</v>
      </c>
      <c r="C587" s="238">
        <f t="shared" si="18"/>
        <v>30042</v>
      </c>
      <c r="D587" s="238">
        <v>43617</v>
      </c>
      <c r="E587" t="str">
        <f>TEXT(D587,"YYYY-MM-DD")</f>
        <v>2019-06-01</v>
      </c>
      <c r="F587" s="237">
        <f>AVERAGEIFS(B:B,C:C,D587)/100</f>
        <v>3.8025000000000003E-2</v>
      </c>
      <c r="G587" t="str">
        <f t="shared" ref="G587:G650" si="19">"('"&amp;E587&amp;"',"&amp;F587&amp;")"&amp;IF(LEN(E588)+LEN(F588)&gt;0,",",";")</f>
        <v>('2019-06-01',0.038025),</v>
      </c>
    </row>
    <row r="588" spans="1:7" ht="16.2" x14ac:dyDescent="0.35">
      <c r="A588" s="20">
        <v>30078</v>
      </c>
      <c r="B588" s="21">
        <v>16.78</v>
      </c>
      <c r="C588" s="238">
        <f t="shared" si="18"/>
        <v>30072</v>
      </c>
      <c r="D588" s="238">
        <v>43647</v>
      </c>
      <c r="E588" t="str">
        <f>TEXT(D588,"YYYY-MM-DD")</f>
        <v>2019-07-01</v>
      </c>
      <c r="F588" s="237">
        <f>AVERAGEIFS(B:B,C:C,D588)/100</f>
        <v>3.7650000000000003E-2</v>
      </c>
      <c r="G588" t="str">
        <f t="shared" si="19"/>
        <v>('2019-07-01',0.03765),</v>
      </c>
    </row>
    <row r="589" spans="1:7" ht="16.2" x14ac:dyDescent="0.35">
      <c r="A589" s="20">
        <v>30085</v>
      </c>
      <c r="B589" s="21">
        <v>16.63</v>
      </c>
      <c r="C589" s="238">
        <f t="shared" si="18"/>
        <v>30072</v>
      </c>
      <c r="D589" s="238">
        <v>43678</v>
      </c>
      <c r="E589" t="str">
        <f>TEXT(D589,"YYYY-MM-DD")</f>
        <v>2019-08-01</v>
      </c>
      <c r="F589" s="237">
        <f>AVERAGEIFS(B:B,C:C,D589)/100</f>
        <v>3.6159999999999998E-2</v>
      </c>
      <c r="G589" t="str">
        <f t="shared" si="19"/>
        <v>('2019-08-01',0.03616),</v>
      </c>
    </row>
    <row r="590" spans="1:7" ht="16.2" x14ac:dyDescent="0.35">
      <c r="A590" s="20">
        <v>30092</v>
      </c>
      <c r="B590" s="21">
        <v>16.670000000000002</v>
      </c>
      <c r="C590" s="238">
        <f t="shared" si="18"/>
        <v>30072</v>
      </c>
      <c r="D590" s="238">
        <v>43709</v>
      </c>
      <c r="E590" t="str">
        <f>TEXT(D590,"YYYY-MM-DD")</f>
        <v>2019-09-01</v>
      </c>
      <c r="F590" s="237">
        <f>AVERAGEIFS(B:B,C:C,D590)/100</f>
        <v>3.6050000000000006E-2</v>
      </c>
      <c r="G590" t="str">
        <f t="shared" si="19"/>
        <v>('2019-09-01',0.03605),</v>
      </c>
    </row>
    <row r="591" spans="1:7" ht="16.2" x14ac:dyDescent="0.35">
      <c r="A591" s="20">
        <v>30099</v>
      </c>
      <c r="B591" s="21">
        <v>16.63</v>
      </c>
      <c r="C591" s="238">
        <f t="shared" si="18"/>
        <v>30072</v>
      </c>
      <c r="D591" s="238">
        <v>43739</v>
      </c>
      <c r="E591" t="str">
        <f>TEXT(D591,"YYYY-MM-DD")</f>
        <v>2019-10-01</v>
      </c>
      <c r="F591" s="237">
        <f>AVERAGEIFS(B:B,C:C,D591)/100</f>
        <v>3.6880000000000003E-2</v>
      </c>
      <c r="G591" t="str">
        <f t="shared" si="19"/>
        <v>('2019-10-01',0.03688),</v>
      </c>
    </row>
    <row r="592" spans="1:7" ht="16.2" x14ac:dyDescent="0.35">
      <c r="A592" s="20">
        <v>30106</v>
      </c>
      <c r="B592" s="21">
        <v>16.649999999999999</v>
      </c>
      <c r="C592" s="238">
        <f t="shared" ref="C592:C655" si="20">EOMONTH(A592,-1)+1</f>
        <v>30103</v>
      </c>
      <c r="D592" s="238">
        <v>43770</v>
      </c>
      <c r="E592" t="str">
        <f>TEXT(D592,"YYYY-MM-DD")</f>
        <v>2019-11-01</v>
      </c>
      <c r="F592" s="237">
        <f>AVERAGEIFS(B:B,C:C,D592)/100</f>
        <v>3.6949999999999997E-2</v>
      </c>
      <c r="G592" t="str">
        <f t="shared" si="19"/>
        <v>('2019-11-01',0.03695),</v>
      </c>
    </row>
    <row r="593" spans="1:7" ht="16.2" x14ac:dyDescent="0.35">
      <c r="A593" s="20">
        <v>30113</v>
      </c>
      <c r="B593" s="21">
        <v>16.7</v>
      </c>
      <c r="C593" s="238">
        <f t="shared" si="20"/>
        <v>30103</v>
      </c>
      <c r="D593" s="238">
        <v>43800</v>
      </c>
      <c r="E593" t="str">
        <f>TEXT(D593,"YYYY-MM-DD")</f>
        <v>2019-12-01</v>
      </c>
      <c r="F593" s="237">
        <f>AVERAGEIFS(B:B,C:C,D593)/100</f>
        <v>3.7200000000000004E-2</v>
      </c>
      <c r="G593" t="str">
        <f t="shared" si="19"/>
        <v>('2019-12-01',0.0372),</v>
      </c>
    </row>
    <row r="594" spans="1:7" ht="16.2" x14ac:dyDescent="0.35">
      <c r="A594" s="20">
        <v>30120</v>
      </c>
      <c r="B594" s="21">
        <v>16.71</v>
      </c>
      <c r="C594" s="238">
        <f t="shared" si="20"/>
        <v>30103</v>
      </c>
      <c r="D594" s="238">
        <v>43831</v>
      </c>
      <c r="E594" t="str">
        <f>TEXT(D594,"YYYY-MM-DD")</f>
        <v>2020-01-01</v>
      </c>
      <c r="F594" s="237">
        <f>AVERAGEIFS(B:B,C:C,D594)/100</f>
        <v>3.6239999999999994E-2</v>
      </c>
      <c r="G594" t="str">
        <f t="shared" si="19"/>
        <v>('2020-01-01',0.03624),</v>
      </c>
    </row>
    <row r="595" spans="1:7" ht="16.2" x14ac:dyDescent="0.35">
      <c r="A595" s="20">
        <v>30127</v>
      </c>
      <c r="B595" s="21">
        <v>16.73</v>
      </c>
      <c r="C595" s="238">
        <f t="shared" si="20"/>
        <v>30103</v>
      </c>
      <c r="D595" s="238">
        <v>43862</v>
      </c>
      <c r="E595" t="str">
        <f>TEXT(D595,"YYYY-MM-DD")</f>
        <v>2020-02-01</v>
      </c>
      <c r="F595" s="237">
        <f>AVERAGEIFS(B:B,C:C,D595)/100</f>
        <v>3.465E-2</v>
      </c>
      <c r="G595" t="str">
        <f t="shared" si="19"/>
        <v>('2020-02-01',0.03465),</v>
      </c>
    </row>
    <row r="596" spans="1:7" ht="16.2" x14ac:dyDescent="0.35">
      <c r="A596" s="20">
        <v>30134</v>
      </c>
      <c r="B596" s="21">
        <v>16.87</v>
      </c>
      <c r="C596" s="238">
        <f t="shared" si="20"/>
        <v>30133</v>
      </c>
      <c r="D596" s="238">
        <v>43891</v>
      </c>
      <c r="E596" t="str">
        <f>TEXT(D596,"YYYY-MM-DD")</f>
        <v>2020-03-01</v>
      </c>
      <c r="F596" s="237">
        <f>AVERAGEIFS(B:B,C:C,D596)/100</f>
        <v>3.4500000000000003E-2</v>
      </c>
      <c r="G596" t="str">
        <f t="shared" si="19"/>
        <v>('2020-03-01',0.0345),</v>
      </c>
    </row>
    <row r="597" spans="1:7" ht="16.2" x14ac:dyDescent="0.35">
      <c r="A597" s="20">
        <v>30141</v>
      </c>
      <c r="B597" s="21">
        <v>16.93</v>
      </c>
      <c r="C597" s="238">
        <f t="shared" si="20"/>
        <v>30133</v>
      </c>
      <c r="D597" s="238">
        <v>43922</v>
      </c>
      <c r="E597" t="str">
        <f>TEXT(D597,"YYYY-MM-DD")</f>
        <v>2020-04-01</v>
      </c>
      <c r="F597" s="237">
        <f>AVERAGEIFS(B:B,C:C,D597)/100</f>
        <v>3.3059999999999999E-2</v>
      </c>
      <c r="G597" t="str">
        <f t="shared" si="19"/>
        <v>('2020-04-01',0.03306),</v>
      </c>
    </row>
    <row r="598" spans="1:7" ht="16.2" x14ac:dyDescent="0.35">
      <c r="A598" s="20">
        <v>30148</v>
      </c>
      <c r="B598" s="21">
        <v>16.88</v>
      </c>
      <c r="C598" s="238">
        <f t="shared" si="20"/>
        <v>30133</v>
      </c>
      <c r="D598" s="238">
        <v>43952</v>
      </c>
      <c r="E598" t="str">
        <f>TEXT(D598,"YYYY-MM-DD")</f>
        <v>2020-05-01</v>
      </c>
      <c r="F598" s="237">
        <f>AVERAGEIFS(B:B,C:C,D598)/100</f>
        <v>3.2325E-2</v>
      </c>
      <c r="G598" t="str">
        <f t="shared" si="19"/>
        <v>('2020-05-01',0.032325),</v>
      </c>
    </row>
    <row r="599" spans="1:7" ht="16.2" x14ac:dyDescent="0.35">
      <c r="A599" s="20">
        <v>30155</v>
      </c>
      <c r="B599" s="21">
        <v>16.75</v>
      </c>
      <c r="C599" s="238">
        <f t="shared" si="20"/>
        <v>30133</v>
      </c>
      <c r="D599" s="238">
        <v>43983</v>
      </c>
      <c r="E599" t="str">
        <f>TEXT(D599,"YYYY-MM-DD")</f>
        <v>2020-06-01</v>
      </c>
      <c r="F599" s="237">
        <f>AVERAGEIFS(B:B,C:C,D599)/100</f>
        <v>3.1624999999999993E-2</v>
      </c>
      <c r="G599" t="str">
        <f t="shared" si="19"/>
        <v>('2020-06-01',0.031625),</v>
      </c>
    </row>
    <row r="600" spans="1:7" ht="16.2" x14ac:dyDescent="0.35">
      <c r="A600" s="20">
        <v>30162</v>
      </c>
      <c r="B600" s="21">
        <v>16.649999999999999</v>
      </c>
      <c r="C600" s="238">
        <f t="shared" si="20"/>
        <v>30133</v>
      </c>
      <c r="D600" s="238">
        <v>44013</v>
      </c>
      <c r="E600" t="str">
        <f>TEXT(D600,"YYYY-MM-DD")</f>
        <v>2020-07-01</v>
      </c>
      <c r="F600" s="237">
        <f>AVERAGEIFS(B:B,C:C,D600)/100</f>
        <v>3.0159999999999999E-2</v>
      </c>
      <c r="G600" t="str">
        <f t="shared" si="19"/>
        <v>('2020-07-01',0.03016),</v>
      </c>
    </row>
    <row r="601" spans="1:7" ht="16.2" x14ac:dyDescent="0.35">
      <c r="A601" s="20">
        <v>30169</v>
      </c>
      <c r="B601" s="21">
        <v>16.55</v>
      </c>
      <c r="C601" s="238">
        <f t="shared" si="20"/>
        <v>30164</v>
      </c>
      <c r="D601" s="238">
        <v>44044</v>
      </c>
      <c r="E601" t="str">
        <f>TEXT(D601,"YYYY-MM-DD")</f>
        <v>2020-08-01</v>
      </c>
      <c r="F601" s="237">
        <f>AVERAGEIFS(B:B,C:C,D601)/100</f>
        <v>2.9350000000000001E-2</v>
      </c>
      <c r="G601" t="str">
        <f t="shared" si="19"/>
        <v>('2020-08-01',0.02935),</v>
      </c>
    </row>
    <row r="602" spans="1:7" ht="16.2" x14ac:dyDescent="0.35">
      <c r="A602" s="20">
        <v>30176</v>
      </c>
      <c r="B602" s="21">
        <v>16.440000000000001</v>
      </c>
      <c r="C602" s="238">
        <f t="shared" si="20"/>
        <v>30164</v>
      </c>
      <c r="D602" s="238">
        <v>44075</v>
      </c>
      <c r="E602" t="str">
        <f>TEXT(D602,"YYYY-MM-DD")</f>
        <v>2020-09-01</v>
      </c>
      <c r="F602" s="237">
        <f>AVERAGEIFS(B:B,C:C,D602)/100</f>
        <v>2.8900000000000002E-2</v>
      </c>
      <c r="G602" t="str">
        <f t="shared" si="19"/>
        <v>('2020-09-01',0.0289),</v>
      </c>
    </row>
    <row r="603" spans="1:7" ht="16.2" x14ac:dyDescent="0.35">
      <c r="A603" s="20">
        <v>30183</v>
      </c>
      <c r="B603" s="21">
        <v>16.21</v>
      </c>
      <c r="C603" s="238">
        <f t="shared" si="20"/>
        <v>30164</v>
      </c>
      <c r="D603" s="238">
        <v>44105</v>
      </c>
      <c r="E603" t="str">
        <f>TEXT(D603,"YYYY-MM-DD")</f>
        <v>2020-10-01</v>
      </c>
      <c r="F603" s="237">
        <f>AVERAGEIFS(B:B,C:C,D603)/100</f>
        <v>2.8340000000000001E-2</v>
      </c>
      <c r="G603" t="str">
        <f t="shared" si="19"/>
        <v>('2020-10-01',0.02834),</v>
      </c>
    </row>
    <row r="604" spans="1:7" ht="16.2" x14ac:dyDescent="0.35">
      <c r="A604" s="20">
        <v>30190</v>
      </c>
      <c r="B604" s="21">
        <v>15.88</v>
      </c>
      <c r="C604" s="238">
        <f t="shared" si="20"/>
        <v>30164</v>
      </c>
      <c r="D604" s="238">
        <v>44136</v>
      </c>
      <c r="E604" t="str">
        <f>TEXT(D604,"YYYY-MM-DD")</f>
        <v>2020-11-01</v>
      </c>
      <c r="F604" s="237">
        <f>AVERAGEIFS(B:B,C:C,D604)/100</f>
        <v>2.7650000000000001E-2</v>
      </c>
      <c r="G604" t="str">
        <f t="shared" si="19"/>
        <v>('2020-11-01',0.02765),</v>
      </c>
    </row>
    <row r="605" spans="1:7" ht="16.2" x14ac:dyDescent="0.35">
      <c r="A605" s="20">
        <v>30197</v>
      </c>
      <c r="B605" s="21">
        <v>15.59</v>
      </c>
      <c r="C605" s="238">
        <f t="shared" si="20"/>
        <v>30195</v>
      </c>
      <c r="D605" s="238">
        <v>44166</v>
      </c>
      <c r="E605" t="str">
        <f>TEXT(D605,"YYYY-MM-DD")</f>
        <v>2020-12-01</v>
      </c>
      <c r="F605" s="237">
        <f>AVERAGEIFS(B:B,C:C,D605)/100</f>
        <v>2.6840000000000003E-2</v>
      </c>
      <c r="G605" t="str">
        <f t="shared" si="19"/>
        <v>('2020-12-01',0.02684),</v>
      </c>
    </row>
    <row r="606" spans="1:7" ht="16.2" x14ac:dyDescent="0.35">
      <c r="A606" s="20">
        <v>30204</v>
      </c>
      <c r="B606" s="21">
        <v>15.56</v>
      </c>
      <c r="C606" s="238">
        <f t="shared" si="20"/>
        <v>30195</v>
      </c>
      <c r="D606" s="238">
        <v>44197</v>
      </c>
      <c r="E606" t="str">
        <f>TEXT(D606,"YYYY-MM-DD")</f>
        <v>2021-01-01</v>
      </c>
      <c r="F606" s="237">
        <f>AVERAGEIFS(B:B,C:C,D606)/100</f>
        <v>2.7349999999999999E-2</v>
      </c>
      <c r="G606" t="str">
        <f t="shared" si="19"/>
        <v>('2021-01-01',0.02735),</v>
      </c>
    </row>
    <row r="607" spans="1:7" ht="16.2" x14ac:dyDescent="0.35">
      <c r="A607" s="20">
        <v>30211</v>
      </c>
      <c r="B607" s="21">
        <v>15.38</v>
      </c>
      <c r="C607" s="238">
        <f t="shared" si="20"/>
        <v>30195</v>
      </c>
      <c r="D607" s="238">
        <v>44228</v>
      </c>
      <c r="E607" t="str">
        <f>TEXT(D607,"YYYY-MM-DD")</f>
        <v>2021-02-01</v>
      </c>
      <c r="F607" s="237">
        <f>AVERAGEIFS(B:B,C:C,D607)/100</f>
        <v>2.81E-2</v>
      </c>
      <c r="G607" t="str">
        <f t="shared" si="19"/>
        <v>('2021-02-01',0.0281),</v>
      </c>
    </row>
    <row r="608" spans="1:7" ht="16.2" x14ac:dyDescent="0.35">
      <c r="A608" s="20">
        <v>30218</v>
      </c>
      <c r="B608" s="21">
        <v>15.19</v>
      </c>
      <c r="C608" s="238">
        <f t="shared" si="20"/>
        <v>30195</v>
      </c>
      <c r="D608" s="238">
        <v>44256</v>
      </c>
      <c r="E608" t="str">
        <f>TEXT(D608,"YYYY-MM-DD")</f>
        <v>2021-03-01</v>
      </c>
      <c r="F608" s="237">
        <f>AVERAGEIFS(B:B,C:C,D608)/100</f>
        <v>3.0825000000000002E-2</v>
      </c>
      <c r="G608" t="str">
        <f t="shared" si="19"/>
        <v>('2021-03-01',0.030825),</v>
      </c>
    </row>
    <row r="609" spans="1:7" ht="16.2" x14ac:dyDescent="0.35">
      <c r="A609" s="20">
        <v>30225</v>
      </c>
      <c r="B609" s="21">
        <v>15.13</v>
      </c>
      <c r="C609" s="238">
        <f t="shared" si="20"/>
        <v>30225</v>
      </c>
      <c r="D609" s="238">
        <v>44287</v>
      </c>
      <c r="E609" t="str">
        <f>TEXT(D609,"YYYY-MM-DD")</f>
        <v>2021-04-01</v>
      </c>
      <c r="F609" s="237">
        <f>AVERAGEIFS(B:B,C:C,D609)/100</f>
        <v>3.0600000000000006E-2</v>
      </c>
      <c r="G609" t="str">
        <f t="shared" si="19"/>
        <v>('2021-04-01',0.0306),</v>
      </c>
    </row>
    <row r="610" spans="1:7" ht="16.2" x14ac:dyDescent="0.35">
      <c r="A610" s="20">
        <v>30232</v>
      </c>
      <c r="B610" s="21">
        <v>14.96</v>
      </c>
      <c r="C610" s="238">
        <f t="shared" si="20"/>
        <v>30225</v>
      </c>
      <c r="D610" s="238">
        <v>44317</v>
      </c>
      <c r="E610" t="str">
        <f>TEXT(D610,"YYYY-MM-DD")</f>
        <v>2021-05-01</v>
      </c>
      <c r="F610" s="237">
        <f>AVERAGEIFS(B:B,C:C,D610)/100</f>
        <v>2.9625000000000002E-2</v>
      </c>
      <c r="G610" t="str">
        <f t="shared" si="19"/>
        <v>('2021-05-01',0.029625),</v>
      </c>
    </row>
    <row r="611" spans="1:7" ht="16.2" x14ac:dyDescent="0.35">
      <c r="A611" s="20">
        <v>30239</v>
      </c>
      <c r="B611" s="21">
        <v>14.6</v>
      </c>
      <c r="C611" s="238">
        <f t="shared" si="20"/>
        <v>30225</v>
      </c>
      <c r="D611" s="238">
        <v>44348</v>
      </c>
      <c r="E611" t="str">
        <f>TEXT(D611,"YYYY-MM-DD")</f>
        <v>2021-06-01</v>
      </c>
      <c r="F611" s="237">
        <f>AVERAGEIFS(B:B,C:C,D611)/100</f>
        <v>2.9750000000000002E-2</v>
      </c>
      <c r="G611" t="str">
        <f t="shared" si="19"/>
        <v>('2021-06-01',0.02975),</v>
      </c>
    </row>
    <row r="612" spans="1:7" ht="16.2" x14ac:dyDescent="0.35">
      <c r="A612" s="20">
        <v>30246</v>
      </c>
      <c r="B612" s="21">
        <v>14.2</v>
      </c>
      <c r="C612" s="238">
        <f t="shared" si="20"/>
        <v>30225</v>
      </c>
      <c r="D612" s="238">
        <v>44378</v>
      </c>
      <c r="E612" t="str">
        <f>TEXT(D612,"YYYY-MM-DD")</f>
        <v>2021-07-01</v>
      </c>
      <c r="F612" s="237">
        <f>AVERAGEIFS(B:B,C:C,D612)/100</f>
        <v>2.8679999999999997E-2</v>
      </c>
      <c r="G612" t="str">
        <f t="shared" si="19"/>
        <v>('2021-07-01',0.02868),</v>
      </c>
    </row>
    <row r="613" spans="1:7" ht="16.2" x14ac:dyDescent="0.35">
      <c r="A613" s="20">
        <v>30253</v>
      </c>
      <c r="B613" s="21">
        <v>14.15</v>
      </c>
      <c r="C613" s="238">
        <f t="shared" si="20"/>
        <v>30225</v>
      </c>
      <c r="D613" s="238">
        <v>44409</v>
      </c>
      <c r="E613" t="str">
        <f>TEXT(D613,"YYYY-MM-DD")</f>
        <v>2021-08-01</v>
      </c>
      <c r="F613" s="237">
        <f>AVERAGEIFS(B:B,C:C,D613)/100</f>
        <v>2.8425000000000002E-2</v>
      </c>
      <c r="G613" t="str">
        <f t="shared" si="19"/>
        <v>('2021-08-01',0.028425),</v>
      </c>
    </row>
    <row r="614" spans="1:7" ht="16.2" x14ac:dyDescent="0.35">
      <c r="A614" s="20">
        <v>30260</v>
      </c>
      <c r="B614" s="21">
        <v>13.91</v>
      </c>
      <c r="C614" s="238">
        <f t="shared" si="20"/>
        <v>30256</v>
      </c>
      <c r="D614" s="238">
        <v>44440</v>
      </c>
      <c r="E614" t="str">
        <f>TEXT(D614,"YYYY-MM-DD")</f>
        <v>2021-09-01</v>
      </c>
      <c r="F614" s="237">
        <f>AVERAGEIFS(B:B,C:C,D614)/100</f>
        <v>2.8999999999999995E-2</v>
      </c>
      <c r="G614" t="str">
        <f t="shared" si="19"/>
        <v>('2021-09-01',0.029),</v>
      </c>
    </row>
    <row r="615" spans="1:7" ht="16.2" x14ac:dyDescent="0.35">
      <c r="A615" s="20">
        <v>30267</v>
      </c>
      <c r="B615" s="21">
        <v>13.84</v>
      </c>
      <c r="C615" s="238">
        <f t="shared" si="20"/>
        <v>30256</v>
      </c>
      <c r="D615" s="238">
        <v>44470</v>
      </c>
      <c r="E615" t="str">
        <f>TEXT(D615,"YYYY-MM-DD")</f>
        <v>2021-10-01</v>
      </c>
      <c r="F615" s="237">
        <f>AVERAGEIFS(B:B,C:C,D615)/100</f>
        <v>3.0674999999999997E-2</v>
      </c>
      <c r="G615" t="str">
        <f t="shared" si="19"/>
        <v>('2021-10-01',0.030675),</v>
      </c>
    </row>
    <row r="616" spans="1:7" ht="16.2" x14ac:dyDescent="0.35">
      <c r="A616" s="20">
        <v>30274</v>
      </c>
      <c r="B616" s="21">
        <v>13.78</v>
      </c>
      <c r="C616" s="238">
        <f t="shared" si="20"/>
        <v>30256</v>
      </c>
      <c r="D616" s="238">
        <v>44501</v>
      </c>
      <c r="E616" t="str">
        <f>TEXT(D616,"YYYY-MM-DD")</f>
        <v>2021-11-01</v>
      </c>
      <c r="F616" s="237">
        <f>AVERAGEIFS(B:B,C:C,D616)/100</f>
        <v>3.0674999999999997E-2</v>
      </c>
      <c r="G616" t="str">
        <f t="shared" si="19"/>
        <v>('2021-11-01',0.030675),</v>
      </c>
    </row>
    <row r="617" spans="1:7" ht="16.2" x14ac:dyDescent="0.35">
      <c r="A617" s="20">
        <v>30281</v>
      </c>
      <c r="B617" s="21">
        <v>13.77</v>
      </c>
      <c r="C617" s="238">
        <f t="shared" si="20"/>
        <v>30256</v>
      </c>
      <c r="D617" s="238">
        <v>44531</v>
      </c>
      <c r="E617" t="str">
        <f>TEXT(D617,"YYYY-MM-DD")</f>
        <v>2021-12-01</v>
      </c>
      <c r="F617" s="237">
        <f>AVERAGEIFS(B:B,C:C,D617)/100</f>
        <v>3.0979999999999997E-2</v>
      </c>
      <c r="G617" t="str">
        <f t="shared" si="19"/>
        <v>('2021-12-01',0.03098),</v>
      </c>
    </row>
    <row r="618" spans="1:7" ht="16.2" x14ac:dyDescent="0.35">
      <c r="A618" s="20">
        <v>30288</v>
      </c>
      <c r="B618" s="21">
        <v>13.66</v>
      </c>
      <c r="C618" s="238">
        <f t="shared" si="20"/>
        <v>30286</v>
      </c>
      <c r="D618" s="238">
        <v>44562</v>
      </c>
      <c r="E618" t="str">
        <f>TEXT(D618,"YYYY-MM-DD")</f>
        <v>2022-01-01</v>
      </c>
      <c r="F618" s="237">
        <f>AVERAGEIFS(B:B,C:C,D618)/100</f>
        <v>3.4450000000000001E-2</v>
      </c>
      <c r="G618" t="str">
        <f t="shared" si="19"/>
        <v>('2022-01-01',0.03445),</v>
      </c>
    </row>
    <row r="619" spans="1:7" ht="16.2" x14ac:dyDescent="0.35">
      <c r="A619" s="20">
        <v>30295</v>
      </c>
      <c r="B619" s="21">
        <v>13.66</v>
      </c>
      <c r="C619" s="238">
        <f t="shared" si="20"/>
        <v>30286</v>
      </c>
      <c r="D619" s="238">
        <v>44593</v>
      </c>
      <c r="E619" t="str">
        <f>TEXT(D619,"YYYY-MM-DD")</f>
        <v>2022-02-01</v>
      </c>
      <c r="F619" s="237">
        <f>AVERAGEIFS(B:B,C:C,D619)/100</f>
        <v>3.7624999999999999E-2</v>
      </c>
      <c r="G619" t="str">
        <f t="shared" si="19"/>
        <v>('2022-02-01',0.037625),</v>
      </c>
    </row>
    <row r="620" spans="1:7" ht="16.2" x14ac:dyDescent="0.35">
      <c r="A620" s="20">
        <v>30302</v>
      </c>
      <c r="B620" s="21">
        <v>13.63</v>
      </c>
      <c r="C620" s="238">
        <f t="shared" si="20"/>
        <v>30286</v>
      </c>
      <c r="D620" s="238">
        <v>44621</v>
      </c>
      <c r="E620" t="str">
        <f>TEXT(D620,"YYYY-MM-DD")</f>
        <v>2022-03-01</v>
      </c>
      <c r="F620" s="237">
        <f>AVERAGEIFS(B:B,C:C,D620)/100</f>
        <v>4.172E-2</v>
      </c>
      <c r="G620" t="str">
        <f t="shared" si="19"/>
        <v>('2022-03-01',0.04172),</v>
      </c>
    </row>
    <row r="621" spans="1:7" ht="16.2" x14ac:dyDescent="0.35">
      <c r="A621" s="20">
        <v>30309</v>
      </c>
      <c r="B621" s="21">
        <v>13.6</v>
      </c>
      <c r="C621" s="238">
        <f t="shared" si="20"/>
        <v>30286</v>
      </c>
      <c r="D621" s="238">
        <v>44652</v>
      </c>
      <c r="E621" t="str">
        <f>TEXT(D621,"YYYY-MM-DD")</f>
        <v>2022-04-01</v>
      </c>
      <c r="F621" s="237">
        <f>AVERAGEIFS(B:B,C:C,D621)/100</f>
        <v>4.9825000000000001E-2</v>
      </c>
      <c r="G621" t="str">
        <f t="shared" si="19"/>
        <v>('2022-04-01',0.049825),</v>
      </c>
    </row>
    <row r="622" spans="1:7" ht="16.2" x14ac:dyDescent="0.35">
      <c r="A622" s="20">
        <v>30316</v>
      </c>
      <c r="B622" s="21">
        <v>13.57</v>
      </c>
      <c r="C622" s="238">
        <f t="shared" si="20"/>
        <v>30286</v>
      </c>
      <c r="D622" s="238">
        <v>44682</v>
      </c>
      <c r="E622" t="str">
        <f>TEXT(D622,"YYYY-MM-DD")</f>
        <v>2022-05-01</v>
      </c>
      <c r="F622" s="237">
        <f>AVERAGEIFS(B:B,C:C,D622)/100</f>
        <v>5.2300000000000006E-2</v>
      </c>
      <c r="G622" t="str">
        <f t="shared" si="19"/>
        <v>('2022-05-01',0.0523),</v>
      </c>
    </row>
    <row r="623" spans="1:7" ht="16.2" x14ac:dyDescent="0.35">
      <c r="A623" s="20">
        <v>30323</v>
      </c>
      <c r="B623" s="21">
        <v>13.46</v>
      </c>
      <c r="C623" s="238">
        <f t="shared" si="20"/>
        <v>30317</v>
      </c>
      <c r="D623" s="238">
        <v>44713</v>
      </c>
      <c r="E623" t="str">
        <f>TEXT(D623,"YYYY-MM-DD")</f>
        <v>2022-06-01</v>
      </c>
      <c r="F623" s="237">
        <f>AVERAGEIFS(B:B,C:C,D623)/100</f>
        <v>5.5220000000000005E-2</v>
      </c>
      <c r="G623" t="str">
        <f t="shared" si="19"/>
        <v>('2022-06-01',0.05522),</v>
      </c>
    </row>
    <row r="624" spans="1:7" ht="16.2" x14ac:dyDescent="0.35">
      <c r="A624" s="20">
        <v>30330</v>
      </c>
      <c r="B624" s="21">
        <v>13.31</v>
      </c>
      <c r="C624" s="238">
        <f t="shared" si="20"/>
        <v>30317</v>
      </c>
      <c r="D624" s="238">
        <v>44743</v>
      </c>
      <c r="E624" t="str">
        <f>TEXT(D624,"YYYY-MM-DD")</f>
        <v>2022-07-01</v>
      </c>
      <c r="F624" s="237">
        <f>AVERAGEIFS(B:B,C:C,D624)/100</f>
        <v>5.4125E-2</v>
      </c>
      <c r="G624" t="str">
        <f t="shared" si="19"/>
        <v>('2022-07-01',0.054125),</v>
      </c>
    </row>
    <row r="625" spans="1:7" ht="16.2" x14ac:dyDescent="0.35">
      <c r="A625" s="20">
        <v>30337</v>
      </c>
      <c r="B625" s="21">
        <v>13.12</v>
      </c>
      <c r="C625" s="238">
        <f t="shared" si="20"/>
        <v>30317</v>
      </c>
      <c r="D625" s="238">
        <v>44774</v>
      </c>
      <c r="E625" t="str">
        <f>TEXT(D625,"YYYY-MM-DD")</f>
        <v>2022-08-01</v>
      </c>
      <c r="F625" s="237">
        <f>AVERAGEIFS(B:B,C:C,D625)/100</f>
        <v>5.2225000000000001E-2</v>
      </c>
      <c r="G625" t="str">
        <f t="shared" si="19"/>
        <v>('2022-08-01',0.052225),</v>
      </c>
    </row>
    <row r="626" spans="1:7" ht="16.2" x14ac:dyDescent="0.35">
      <c r="A626" s="20">
        <v>30344</v>
      </c>
      <c r="B626" s="21">
        <v>13.1</v>
      </c>
      <c r="C626" s="238">
        <f t="shared" si="20"/>
        <v>30317</v>
      </c>
      <c r="D626" s="238">
        <v>44805</v>
      </c>
      <c r="E626" t="str">
        <f>TEXT(D626,"YYYY-MM-DD")</f>
        <v>2022-09-01</v>
      </c>
      <c r="F626" s="237">
        <f>AVERAGEIFS(B:B,C:C,D626)/100</f>
        <v>6.1120000000000001E-2</v>
      </c>
      <c r="G626" t="str">
        <f t="shared" si="19"/>
        <v>('2022-09-01',0.06112),</v>
      </c>
    </row>
    <row r="627" spans="1:7" ht="16.2" x14ac:dyDescent="0.35">
      <c r="A627" s="20">
        <v>30351</v>
      </c>
      <c r="B627" s="21">
        <v>13.06</v>
      </c>
      <c r="C627" s="238">
        <f t="shared" si="20"/>
        <v>30348</v>
      </c>
      <c r="D627" s="238">
        <v>44835</v>
      </c>
      <c r="E627" t="str">
        <f>TEXT(D627,"YYYY-MM-DD")</f>
        <v>2022-10-01</v>
      </c>
      <c r="F627" s="237">
        <f>AVERAGEIFS(B:B,C:C,D627)/100</f>
        <v>6.9000000000000006E-2</v>
      </c>
      <c r="G627" t="str">
        <f t="shared" si="19"/>
        <v>('2022-10-01',0.069),</v>
      </c>
    </row>
    <row r="628" spans="1:7" ht="16.2" x14ac:dyDescent="0.35">
      <c r="A628" s="20">
        <v>30358</v>
      </c>
      <c r="B628" s="21">
        <v>13.06</v>
      </c>
      <c r="C628" s="238">
        <f t="shared" si="20"/>
        <v>30348</v>
      </c>
      <c r="D628" s="238">
        <v>44866</v>
      </c>
      <c r="E628" t="str">
        <f>TEXT(D628,"YYYY-MM-DD")</f>
        <v>2022-11-01</v>
      </c>
      <c r="F628" s="237">
        <f>AVERAGEIFS(B:B,C:C,D628)/100</f>
        <v>6.8049999999999999E-2</v>
      </c>
      <c r="G628" t="str">
        <f t="shared" si="19"/>
        <v>('2022-11-01',0.06805),</v>
      </c>
    </row>
    <row r="629" spans="1:7" ht="16.2" x14ac:dyDescent="0.35">
      <c r="A629" s="20">
        <v>30365</v>
      </c>
      <c r="B629" s="21">
        <v>13.07</v>
      </c>
      <c r="C629" s="238">
        <f t="shared" si="20"/>
        <v>30348</v>
      </c>
      <c r="D629" s="238">
        <v>44896</v>
      </c>
      <c r="E629" t="str">
        <f>TEXT(D629,"YYYY-MM-DD")</f>
        <v>2022-12-01</v>
      </c>
      <c r="F629" s="237">
        <f>AVERAGEIFS(B:B,C:C,D629)/100</f>
        <v>6.3640000000000002E-2</v>
      </c>
      <c r="G629" t="str">
        <f t="shared" si="19"/>
        <v>('2022-12-01',0.06364),</v>
      </c>
    </row>
    <row r="630" spans="1:7" ht="16.2" x14ac:dyDescent="0.35">
      <c r="A630" s="20">
        <v>30372</v>
      </c>
      <c r="B630" s="21">
        <v>12.98</v>
      </c>
      <c r="C630" s="238">
        <f t="shared" si="20"/>
        <v>30348</v>
      </c>
      <c r="D630" s="238">
        <v>44927</v>
      </c>
      <c r="E630" t="str">
        <f>TEXT(D630,"YYYY-MM-DD")</f>
        <v>2023-01-01</v>
      </c>
      <c r="F630" s="237">
        <f>AVERAGEIFS(B:B,C:C,D630)/100</f>
        <v>6.2725000000000003E-2</v>
      </c>
      <c r="G630" t="str">
        <f t="shared" si="19"/>
        <v>('2023-01-01',0.062725),</v>
      </c>
    </row>
    <row r="631" spans="1:7" ht="16.2" x14ac:dyDescent="0.35">
      <c r="A631" s="20">
        <v>30379</v>
      </c>
      <c r="B631" s="21">
        <v>12.74</v>
      </c>
      <c r="C631" s="238">
        <f t="shared" si="20"/>
        <v>30376</v>
      </c>
      <c r="D631" s="238">
        <v>44958</v>
      </c>
      <c r="E631" t="str">
        <f>TEXT(D631,"YYYY-MM-DD")</f>
        <v>2023-02-01</v>
      </c>
      <c r="F631" s="237">
        <f>AVERAGEIFS(B:B,C:C,D631)/100</f>
        <v>6.2575000000000006E-2</v>
      </c>
      <c r="G631" t="str">
        <f t="shared" si="19"/>
        <v>('2023-02-01',0.062575),</v>
      </c>
    </row>
    <row r="632" spans="1:7" ht="16.2" x14ac:dyDescent="0.35">
      <c r="A632" s="20">
        <v>30386</v>
      </c>
      <c r="B632" s="21">
        <v>12.79</v>
      </c>
      <c r="C632" s="238">
        <f t="shared" si="20"/>
        <v>30376</v>
      </c>
      <c r="D632" s="238">
        <v>44986</v>
      </c>
      <c r="E632" t="str">
        <f>TEXT(D632,"YYYY-MM-DD")</f>
        <v>2023-03-01</v>
      </c>
      <c r="F632" s="237">
        <f>AVERAGEIFS(B:B,C:C,D632)/100</f>
        <v>6.5439999999999998E-2</v>
      </c>
      <c r="G632" t="str">
        <f t="shared" si="19"/>
        <v>('2023-03-01',0.06544),</v>
      </c>
    </row>
    <row r="633" spans="1:7" ht="16.2" x14ac:dyDescent="0.35">
      <c r="A633" s="20">
        <v>30393</v>
      </c>
      <c r="B633" s="21">
        <v>12.81</v>
      </c>
      <c r="C633" s="238">
        <f t="shared" si="20"/>
        <v>30376</v>
      </c>
      <c r="D633" s="238">
        <v>45017</v>
      </c>
      <c r="E633" t="str">
        <f>TEXT(D633,"YYYY-MM-DD")</f>
        <v>2023-04-01</v>
      </c>
      <c r="F633" s="237">
        <f>AVERAGEIFS(B:B,C:C,D633)/100</f>
        <v>6.3425000000000009E-2</v>
      </c>
      <c r="G633" t="str">
        <f t="shared" si="19"/>
        <v>('2023-04-01',0.063425),</v>
      </c>
    </row>
    <row r="634" spans="1:7" ht="16.2" x14ac:dyDescent="0.35">
      <c r="A634" s="20">
        <v>30400</v>
      </c>
      <c r="B634" s="21">
        <v>12.86</v>
      </c>
      <c r="C634" s="238">
        <f t="shared" si="20"/>
        <v>30376</v>
      </c>
      <c r="D634" s="238">
        <v>45047</v>
      </c>
      <c r="E634" t="str">
        <f>TEXT(D634,"YYYY-MM-DD")</f>
        <v>2023-05-01</v>
      </c>
      <c r="F634" s="237">
        <f>AVERAGEIFS(B:B,C:C,D634)/100</f>
        <v>6.4250000000000002E-2</v>
      </c>
      <c r="G634" t="str">
        <f t="shared" si="19"/>
        <v>('2023-05-01',0.06425),</v>
      </c>
    </row>
    <row r="635" spans="1:7" ht="16.2" x14ac:dyDescent="0.35">
      <c r="A635" s="20">
        <v>30407</v>
      </c>
      <c r="B635" s="21">
        <v>12.82</v>
      </c>
      <c r="C635" s="238">
        <f t="shared" si="20"/>
        <v>30407</v>
      </c>
      <c r="D635" s="238">
        <v>45078</v>
      </c>
      <c r="E635" t="str">
        <f>TEXT(D635,"YYYY-MM-DD")</f>
        <v>2023-06-01</v>
      </c>
      <c r="F635" s="237">
        <f>AVERAGEIFS(B:B,C:C,D635)/100</f>
        <v>6.7140000000000005E-2</v>
      </c>
      <c r="G635" t="str">
        <f t="shared" si="19"/>
        <v>('2023-06-01',0.06714),</v>
      </c>
    </row>
    <row r="636" spans="1:7" ht="16.2" x14ac:dyDescent="0.35">
      <c r="A636" s="20">
        <v>30414</v>
      </c>
      <c r="B636" s="21">
        <v>12.82</v>
      </c>
      <c r="C636" s="238">
        <f t="shared" si="20"/>
        <v>30407</v>
      </c>
      <c r="D636" s="238">
        <v>45108</v>
      </c>
      <c r="E636" t="str">
        <f>TEXT(D636,"YYYY-MM-DD")</f>
        <v>2023-07-01</v>
      </c>
      <c r="F636" s="237">
        <f>AVERAGEIFS(B:B,C:C,D636)/100</f>
        <v>6.8400000000000002E-2</v>
      </c>
      <c r="G636" t="str">
        <f t="shared" si="19"/>
        <v>('2023-07-01',0.0684),</v>
      </c>
    </row>
    <row r="637" spans="1:7" ht="16.2" x14ac:dyDescent="0.35">
      <c r="A637" s="20">
        <v>30421</v>
      </c>
      <c r="B637" s="21">
        <v>12.79</v>
      </c>
      <c r="C637" s="238">
        <f t="shared" si="20"/>
        <v>30407</v>
      </c>
      <c r="D637" s="238">
        <v>45139</v>
      </c>
      <c r="E637" t="str">
        <f>TEXT(D637,"YYYY-MM-DD")</f>
        <v>2023-08-01</v>
      </c>
      <c r="F637" s="237">
        <f>AVERAGEIFS(B:B,C:C,D637)/100</f>
        <v>7.0720000000000005E-2</v>
      </c>
      <c r="G637" t="str">
        <f t="shared" si="19"/>
        <v>('2023-08-01',0.07072),</v>
      </c>
    </row>
    <row r="638" spans="1:7" ht="16.2" x14ac:dyDescent="0.35">
      <c r="A638" s="20">
        <v>30428</v>
      </c>
      <c r="B638" s="21">
        <v>12.75</v>
      </c>
      <c r="C638" s="238">
        <f t="shared" si="20"/>
        <v>30407</v>
      </c>
      <c r="D638" s="238">
        <v>45170</v>
      </c>
      <c r="E638" t="str">
        <f>TEXT(D638,"YYYY-MM-DD")</f>
        <v>2023-09-01</v>
      </c>
      <c r="F638" s="237">
        <f>AVERAGEIFS(B:B,C:C,D638)/100</f>
        <v>7.2000000000000008E-2</v>
      </c>
      <c r="G638" t="str">
        <f t="shared" si="19"/>
        <v>('2023-09-01',0.072),</v>
      </c>
    </row>
    <row r="639" spans="1:7" ht="16.2" x14ac:dyDescent="0.35">
      <c r="A639" s="20">
        <v>30435</v>
      </c>
      <c r="B639" s="21">
        <v>12.73</v>
      </c>
      <c r="C639" s="238">
        <f t="shared" si="20"/>
        <v>30407</v>
      </c>
      <c r="D639" s="238">
        <v>45200</v>
      </c>
      <c r="E639" t="str">
        <f>TEXT(D639,"YYYY-MM-DD")</f>
        <v>2023-10-01</v>
      </c>
      <c r="F639" s="237">
        <f>AVERAGEIFS(B:B,C:C,D639)/100</f>
        <v>7.6200000000000004E-2</v>
      </c>
      <c r="G639" t="str">
        <f t="shared" si="19"/>
        <v>('2023-10-01',0.0762),</v>
      </c>
    </row>
    <row r="640" spans="1:7" ht="16.2" x14ac:dyDescent="0.35">
      <c r="A640" s="20">
        <v>30442</v>
      </c>
      <c r="B640" s="21">
        <v>12.71</v>
      </c>
      <c r="C640" s="238">
        <f t="shared" si="20"/>
        <v>30437</v>
      </c>
      <c r="D640" s="238">
        <v>45231</v>
      </c>
      <c r="E640" t="str">
        <f>TEXT(D640,"YYYY-MM-DD")</f>
        <v>2023-11-01</v>
      </c>
      <c r="F640" s="237">
        <f>AVERAGEIFS(B:B,C:C,D640)/100</f>
        <v>7.442E-2</v>
      </c>
      <c r="G640" t="str">
        <f t="shared" si="19"/>
        <v>('2023-11-01',0.07442),</v>
      </c>
    </row>
    <row r="641" spans="1:7" ht="16.2" x14ac:dyDescent="0.35">
      <c r="A641" s="20">
        <v>30449</v>
      </c>
      <c r="B641" s="21">
        <v>12.59</v>
      </c>
      <c r="C641" s="238">
        <f t="shared" si="20"/>
        <v>30437</v>
      </c>
      <c r="D641" s="238">
        <v>45261</v>
      </c>
      <c r="E641" t="str">
        <f>TEXT(D641,"YYYY-MM-DD")</f>
        <v>2023-12-01</v>
      </c>
      <c r="F641" s="237">
        <f>AVERAGEIFS(B:B,C:C,D641)/100</f>
        <v>6.8149999999999988E-2</v>
      </c>
      <c r="G641" t="str">
        <f t="shared" si="19"/>
        <v>('2023-12-01',0.06815),</v>
      </c>
    </row>
    <row r="642" spans="1:7" ht="16.2" x14ac:dyDescent="0.35">
      <c r="A642" s="20">
        <v>30456</v>
      </c>
      <c r="B642" s="21">
        <v>12.55</v>
      </c>
      <c r="C642" s="238">
        <f t="shared" si="20"/>
        <v>30437</v>
      </c>
      <c r="D642" s="238">
        <v>45292</v>
      </c>
      <c r="E642" t="str">
        <f>TEXT(D642,"YYYY-MM-DD")</f>
        <v>2024-01-01</v>
      </c>
      <c r="F642" s="237">
        <f>AVERAGEIFS(B:B,C:C,D642)/100</f>
        <v>6.6425000000000012E-2</v>
      </c>
      <c r="G642" t="str">
        <f t="shared" si="19"/>
        <v>('2024-01-01',0.066425),</v>
      </c>
    </row>
    <row r="643" spans="1:7" ht="16.2" x14ac:dyDescent="0.35">
      <c r="A643" s="20">
        <v>30463</v>
      </c>
      <c r="B643" s="21">
        <v>12.68</v>
      </c>
      <c r="C643" s="238">
        <f t="shared" si="20"/>
        <v>30437</v>
      </c>
      <c r="D643" s="238">
        <v>45323</v>
      </c>
      <c r="E643" t="str">
        <f>TEXT(D643,"YYYY-MM-DD")</f>
        <v>2024-02-01</v>
      </c>
      <c r="F643" s="237">
        <f>AVERAGEIFS(B:B,C:C,D643)/100</f>
        <v>6.7759999999999987E-2</v>
      </c>
      <c r="G643" t="str">
        <f t="shared" si="19"/>
        <v>('2024-02-01',0.06776),</v>
      </c>
    </row>
    <row r="644" spans="1:7" ht="16.2" x14ac:dyDescent="0.35">
      <c r="A644" s="20">
        <v>30470</v>
      </c>
      <c r="B644" s="21">
        <v>12.74</v>
      </c>
      <c r="C644" s="238">
        <f t="shared" si="20"/>
        <v>30468</v>
      </c>
      <c r="D644" s="238">
        <v>45352</v>
      </c>
      <c r="E644" t="str">
        <f>TEXT(D644,"YYYY-MM-DD")</f>
        <v>2024-03-01</v>
      </c>
      <c r="F644" s="237">
        <f>AVERAGEIFS(B:B,C:C,D644)/100</f>
        <v>6.8199999999999997E-2</v>
      </c>
      <c r="G644" t="str">
        <f t="shared" si="19"/>
        <v>('2024-03-01',0.0682),</v>
      </c>
    </row>
    <row r="645" spans="1:7" ht="16.2" x14ac:dyDescent="0.35">
      <c r="A645" s="20">
        <v>30477</v>
      </c>
      <c r="B645" s="21">
        <v>12.82</v>
      </c>
      <c r="C645" s="238">
        <f t="shared" si="20"/>
        <v>30468</v>
      </c>
      <c r="D645" s="238">
        <v>45383</v>
      </c>
      <c r="E645" t="str">
        <f>TEXT(D645,"YYYY-MM-DD")</f>
        <v>2024-04-01</v>
      </c>
      <c r="F645" s="237">
        <f>AVERAGEIFS(B:B,C:C,D645)/100</f>
        <v>6.9925000000000001E-2</v>
      </c>
      <c r="G645" t="str">
        <f t="shared" si="19"/>
        <v>('2024-04-01',0.069925),</v>
      </c>
    </row>
    <row r="646" spans="1:7" ht="16.2" x14ac:dyDescent="0.35">
      <c r="A646" s="20">
        <v>30484</v>
      </c>
      <c r="B646" s="21">
        <v>12.96</v>
      </c>
      <c r="C646" s="238">
        <f t="shared" si="20"/>
        <v>30468</v>
      </c>
      <c r="D646" s="238">
        <v>45413</v>
      </c>
      <c r="E646" t="str">
        <f>TEXT(D646,"YYYY-MM-DD")</f>
        <v>2024-05-01</v>
      </c>
      <c r="F646" s="237">
        <f>AVERAGEIFS(B:B,C:C,D646)/100</f>
        <v>7.0599999999999996E-2</v>
      </c>
      <c r="G646" t="str">
        <f t="shared" si="19"/>
        <v>('2024-05-01',0.0706),</v>
      </c>
    </row>
    <row r="647" spans="1:7" ht="16.2" x14ac:dyDescent="0.35">
      <c r="A647" s="20">
        <v>30491</v>
      </c>
      <c r="B647" s="21">
        <v>12.96</v>
      </c>
      <c r="C647" s="238">
        <f t="shared" si="20"/>
        <v>30468</v>
      </c>
      <c r="D647" s="238">
        <v>45444</v>
      </c>
      <c r="E647" t="str">
        <f>TEXT(D647,"YYYY-MM-DD")</f>
        <v>2024-06-01</v>
      </c>
      <c r="F647" s="237">
        <f>AVERAGEIFS(B:B,C:C,D647)/100</f>
        <v>6.9175E-2</v>
      </c>
      <c r="G647" t="str">
        <f t="shared" si="19"/>
        <v>('2024-06-01',0.069175),</v>
      </c>
    </row>
    <row r="648" spans="1:7" ht="16.2" x14ac:dyDescent="0.35">
      <c r="A648" s="20">
        <v>30498</v>
      </c>
      <c r="B648" s="21">
        <v>13.08</v>
      </c>
      <c r="C648" s="238">
        <f t="shared" si="20"/>
        <v>30498</v>
      </c>
      <c r="D648" s="238">
        <v>45474</v>
      </c>
      <c r="E648" t="str">
        <f>TEXT(D648,"YYYY-MM-DD")</f>
        <v>2024-07-01</v>
      </c>
      <c r="F648" s="237">
        <f>AVERAGEIFS(B:B,C:C,D648)/100</f>
        <v>6.8475000000000008E-2</v>
      </c>
      <c r="G648" t="str">
        <f t="shared" si="19"/>
        <v>('2024-07-01',0.068475),</v>
      </c>
    </row>
    <row r="649" spans="1:7" ht="16.2" x14ac:dyDescent="0.35">
      <c r="A649" s="20">
        <v>30505</v>
      </c>
      <c r="B649" s="21">
        <v>13.3</v>
      </c>
      <c r="C649" s="238">
        <f t="shared" si="20"/>
        <v>30498</v>
      </c>
      <c r="D649" s="238">
        <v>45505</v>
      </c>
      <c r="E649" t="str">
        <f>TEXT(D649,"YYYY-MM-DD")</f>
        <v>2024-08-01</v>
      </c>
      <c r="F649" s="237">
        <f>AVERAGEIFS(B:B,C:C,D649)/100</f>
        <v>6.5000000000000002E-2</v>
      </c>
      <c r="G649" t="str">
        <f t="shared" si="19"/>
        <v>('2024-08-01',0.065),</v>
      </c>
    </row>
    <row r="650" spans="1:7" ht="16.2" x14ac:dyDescent="0.35">
      <c r="A650" s="20">
        <v>30512</v>
      </c>
      <c r="B650" s="21">
        <v>13.5</v>
      </c>
      <c r="C650" s="238">
        <f t="shared" si="20"/>
        <v>30498</v>
      </c>
      <c r="D650" s="238">
        <v>45536</v>
      </c>
      <c r="E650" t="str">
        <f>TEXT(D650,"YYYY-MM-DD")</f>
        <v>2024-09-01</v>
      </c>
      <c r="F650" s="237">
        <f>AVERAGEIFS(B:B,C:C,D650)/100</f>
        <v>6.1799999999999994E-2</v>
      </c>
      <c r="G650" t="str">
        <f t="shared" si="19"/>
        <v>('2024-09-01',0.0618),</v>
      </c>
    </row>
    <row r="651" spans="1:7" ht="16.2" x14ac:dyDescent="0.35">
      <c r="A651" s="20">
        <v>30519</v>
      </c>
      <c r="B651" s="21">
        <v>13.58</v>
      </c>
      <c r="C651" s="238">
        <f t="shared" si="20"/>
        <v>30498</v>
      </c>
      <c r="D651" s="238">
        <v>45566</v>
      </c>
      <c r="E651" t="str">
        <f>TEXT(D651,"YYYY-MM-DD")</f>
        <v>2024-10-01</v>
      </c>
      <c r="F651" s="237">
        <f>AVERAGEIFS(B:B,C:C,D651)/100</f>
        <v>6.4280000000000004E-2</v>
      </c>
      <c r="G651" t="str">
        <f t="shared" ref="G651:G714" si="21">"('"&amp;E651&amp;"',"&amp;F651&amp;")"&amp;IF(LEN(E652)+LEN(F652)&gt;0,",",";")</f>
        <v>('2024-10-01',0.06428),</v>
      </c>
    </row>
    <row r="652" spans="1:7" ht="16.2" x14ac:dyDescent="0.35">
      <c r="A652" s="20">
        <v>30526</v>
      </c>
      <c r="B652" s="21">
        <v>13.65</v>
      </c>
      <c r="C652" s="238">
        <f t="shared" si="20"/>
        <v>30498</v>
      </c>
      <c r="D652" s="238">
        <v>45597</v>
      </c>
      <c r="E652" t="str">
        <f>TEXT(D652,"YYYY-MM-DD")</f>
        <v>2024-11-01</v>
      </c>
      <c r="F652" s="237">
        <f>AVERAGEIFS(B:B,C:C,D652)/100</f>
        <v>6.8033333333333335E-2</v>
      </c>
      <c r="G652" t="str">
        <f t="shared" si="21"/>
        <v>('2024-11-01',0.0680333333333333);</v>
      </c>
    </row>
    <row r="653" spans="1:7" ht="16.2" x14ac:dyDescent="0.35">
      <c r="A653" s="20">
        <v>30533</v>
      </c>
      <c r="B653" s="21">
        <v>13.73</v>
      </c>
      <c r="C653" s="238">
        <f t="shared" si="20"/>
        <v>30529</v>
      </c>
    </row>
    <row r="654" spans="1:7" ht="16.2" x14ac:dyDescent="0.35">
      <c r="A654" s="20">
        <v>30540</v>
      </c>
      <c r="B654" s="21">
        <v>13.84</v>
      </c>
      <c r="C654" s="238">
        <f t="shared" si="20"/>
        <v>30529</v>
      </c>
    </row>
    <row r="655" spans="1:7" ht="16.2" x14ac:dyDescent="0.35">
      <c r="A655" s="20">
        <v>30547</v>
      </c>
      <c r="B655" s="21">
        <v>13.89</v>
      </c>
      <c r="C655" s="238">
        <f t="shared" si="20"/>
        <v>30529</v>
      </c>
    </row>
    <row r="656" spans="1:7" ht="16.2" x14ac:dyDescent="0.35">
      <c r="A656" s="20">
        <v>30554</v>
      </c>
      <c r="B656" s="21">
        <v>13.78</v>
      </c>
      <c r="C656" s="238">
        <f t="shared" ref="C656:C719" si="22">EOMONTH(A656,-1)+1</f>
        <v>30529</v>
      </c>
    </row>
    <row r="657" spans="1:3" ht="16.2" x14ac:dyDescent="0.35">
      <c r="A657" s="20">
        <v>30561</v>
      </c>
      <c r="B657" s="21">
        <v>13.77</v>
      </c>
      <c r="C657" s="238">
        <f t="shared" si="22"/>
        <v>30560</v>
      </c>
    </row>
    <row r="658" spans="1:3" ht="16.2" x14ac:dyDescent="0.35">
      <c r="A658" s="20">
        <v>30568</v>
      </c>
      <c r="B658" s="21">
        <v>13.77</v>
      </c>
      <c r="C658" s="238">
        <f t="shared" si="22"/>
        <v>30560</v>
      </c>
    </row>
    <row r="659" spans="1:3" ht="16.2" x14ac:dyDescent="0.35">
      <c r="A659" s="20">
        <v>30575</v>
      </c>
      <c r="B659" s="21">
        <v>13.72</v>
      </c>
      <c r="C659" s="238">
        <f t="shared" si="22"/>
        <v>30560</v>
      </c>
    </row>
    <row r="660" spans="1:3" ht="16.2" x14ac:dyDescent="0.35">
      <c r="A660" s="20">
        <v>30582</v>
      </c>
      <c r="B660" s="21">
        <v>13.72</v>
      </c>
      <c r="C660" s="238">
        <f t="shared" si="22"/>
        <v>30560</v>
      </c>
    </row>
    <row r="661" spans="1:3" ht="16.2" x14ac:dyDescent="0.35">
      <c r="A661" s="20">
        <v>30589</v>
      </c>
      <c r="B661" s="21">
        <v>13.65</v>
      </c>
      <c r="C661" s="238">
        <f t="shared" si="22"/>
        <v>30560</v>
      </c>
    </row>
    <row r="662" spans="1:3" ht="16.2" x14ac:dyDescent="0.35">
      <c r="A662" s="20">
        <v>30596</v>
      </c>
      <c r="B662" s="21">
        <v>13.59</v>
      </c>
      <c r="C662" s="238">
        <f t="shared" si="22"/>
        <v>30590</v>
      </c>
    </row>
    <row r="663" spans="1:3" ht="16.2" x14ac:dyDescent="0.35">
      <c r="A663" s="20">
        <v>30603</v>
      </c>
      <c r="B663" s="21">
        <v>13.6</v>
      </c>
      <c r="C663" s="238">
        <f t="shared" si="22"/>
        <v>30590</v>
      </c>
    </row>
    <row r="664" spans="1:3" ht="16.2" x14ac:dyDescent="0.35">
      <c r="A664" s="20">
        <v>30610</v>
      </c>
      <c r="B664" s="21">
        <v>13.52</v>
      </c>
      <c r="C664" s="238">
        <f t="shared" si="22"/>
        <v>30590</v>
      </c>
    </row>
    <row r="665" spans="1:3" ht="16.2" x14ac:dyDescent="0.35">
      <c r="A665" s="20">
        <v>30617</v>
      </c>
      <c r="B665" s="21">
        <v>13.43</v>
      </c>
      <c r="C665" s="238">
        <f t="shared" si="22"/>
        <v>30590</v>
      </c>
    </row>
    <row r="666" spans="1:3" ht="16.2" x14ac:dyDescent="0.35">
      <c r="A666" s="20">
        <v>30624</v>
      </c>
      <c r="B666" s="21">
        <v>13.42</v>
      </c>
      <c r="C666" s="238">
        <f t="shared" si="22"/>
        <v>30621</v>
      </c>
    </row>
    <row r="667" spans="1:3" ht="16.2" x14ac:dyDescent="0.35">
      <c r="A667" s="20">
        <v>30631</v>
      </c>
      <c r="B667" s="21">
        <v>13.47</v>
      </c>
      <c r="C667" s="238">
        <f t="shared" si="22"/>
        <v>30621</v>
      </c>
    </row>
    <row r="668" spans="1:3" ht="16.2" x14ac:dyDescent="0.35">
      <c r="A668" s="20">
        <v>30638</v>
      </c>
      <c r="B668" s="21">
        <v>13.42</v>
      </c>
      <c r="C668" s="238">
        <f t="shared" si="22"/>
        <v>30621</v>
      </c>
    </row>
    <row r="669" spans="1:3" ht="16.2" x14ac:dyDescent="0.35">
      <c r="A669" s="20">
        <v>30645</v>
      </c>
      <c r="B669" s="21">
        <v>13.43</v>
      </c>
      <c r="C669" s="238">
        <f t="shared" si="22"/>
        <v>30621</v>
      </c>
    </row>
    <row r="670" spans="1:3" ht="16.2" x14ac:dyDescent="0.35">
      <c r="A670" s="20">
        <v>30652</v>
      </c>
      <c r="B670" s="21">
        <v>13.41</v>
      </c>
      <c r="C670" s="238">
        <f t="shared" si="22"/>
        <v>30651</v>
      </c>
    </row>
    <row r="671" spans="1:3" ht="16.2" x14ac:dyDescent="0.35">
      <c r="A671" s="20">
        <v>30659</v>
      </c>
      <c r="B671" s="21">
        <v>13.38</v>
      </c>
      <c r="C671" s="238">
        <f t="shared" si="22"/>
        <v>30651</v>
      </c>
    </row>
    <row r="672" spans="1:3" ht="16.2" x14ac:dyDescent="0.35">
      <c r="A672" s="20">
        <v>30666</v>
      </c>
      <c r="B672" s="21">
        <v>13.42</v>
      </c>
      <c r="C672" s="238">
        <f t="shared" si="22"/>
        <v>30651</v>
      </c>
    </row>
    <row r="673" spans="1:3" ht="16.2" x14ac:dyDescent="0.35">
      <c r="A673" s="20">
        <v>30673</v>
      </c>
      <c r="B673" s="21">
        <v>13.46</v>
      </c>
      <c r="C673" s="238">
        <f t="shared" si="22"/>
        <v>30651</v>
      </c>
    </row>
    <row r="674" spans="1:3" ht="16.2" x14ac:dyDescent="0.35">
      <c r="A674" s="20">
        <v>30680</v>
      </c>
      <c r="B674" s="21">
        <v>13.43</v>
      </c>
      <c r="C674" s="238">
        <f t="shared" si="22"/>
        <v>30651</v>
      </c>
    </row>
    <row r="675" spans="1:3" ht="16.2" x14ac:dyDescent="0.35">
      <c r="A675" s="20">
        <v>30687</v>
      </c>
      <c r="B675" s="21">
        <v>13.43</v>
      </c>
      <c r="C675" s="238">
        <f t="shared" si="22"/>
        <v>30682</v>
      </c>
    </row>
    <row r="676" spans="1:3" ht="16.2" x14ac:dyDescent="0.35">
      <c r="A676" s="20">
        <v>30694</v>
      </c>
      <c r="B676" s="21">
        <v>13.4</v>
      </c>
      <c r="C676" s="238">
        <f t="shared" si="22"/>
        <v>30682</v>
      </c>
    </row>
    <row r="677" spans="1:3" ht="16.2" x14ac:dyDescent="0.35">
      <c r="A677" s="20">
        <v>30701</v>
      </c>
      <c r="B677" s="21">
        <v>13.35</v>
      </c>
      <c r="C677" s="238">
        <f t="shared" si="22"/>
        <v>30682</v>
      </c>
    </row>
    <row r="678" spans="1:3" ht="16.2" x14ac:dyDescent="0.35">
      <c r="A678" s="20">
        <v>30708</v>
      </c>
      <c r="B678" s="21">
        <v>13.29</v>
      </c>
      <c r="C678" s="238">
        <f t="shared" si="22"/>
        <v>30682</v>
      </c>
    </row>
    <row r="679" spans="1:3" ht="16.2" x14ac:dyDescent="0.35">
      <c r="A679" s="20">
        <v>30715</v>
      </c>
      <c r="B679" s="21">
        <v>13.26</v>
      </c>
      <c r="C679" s="238">
        <f t="shared" si="22"/>
        <v>30713</v>
      </c>
    </row>
    <row r="680" spans="1:3" ht="16.2" x14ac:dyDescent="0.35">
      <c r="A680" s="20">
        <v>30722</v>
      </c>
      <c r="B680" s="21">
        <v>13.23</v>
      </c>
      <c r="C680" s="238">
        <f t="shared" si="22"/>
        <v>30713</v>
      </c>
    </row>
    <row r="681" spans="1:3" ht="16.2" x14ac:dyDescent="0.35">
      <c r="A681" s="20">
        <v>30729</v>
      </c>
      <c r="B681" s="21">
        <v>13.19</v>
      </c>
      <c r="C681" s="238">
        <f t="shared" si="22"/>
        <v>30713</v>
      </c>
    </row>
    <row r="682" spans="1:3" ht="16.2" x14ac:dyDescent="0.35">
      <c r="A682" s="20">
        <v>30736</v>
      </c>
      <c r="B682" s="21">
        <v>13.25</v>
      </c>
      <c r="C682" s="238">
        <f t="shared" si="22"/>
        <v>30713</v>
      </c>
    </row>
    <row r="683" spans="1:3" ht="16.2" x14ac:dyDescent="0.35">
      <c r="A683" s="20">
        <v>30743</v>
      </c>
      <c r="B683" s="21">
        <v>13.23</v>
      </c>
      <c r="C683" s="238">
        <f t="shared" si="22"/>
        <v>30742</v>
      </c>
    </row>
    <row r="684" spans="1:3" ht="16.2" x14ac:dyDescent="0.35">
      <c r="A684" s="20">
        <v>30750</v>
      </c>
      <c r="B684" s="21">
        <v>13.3</v>
      </c>
      <c r="C684" s="238">
        <f t="shared" si="22"/>
        <v>30742</v>
      </c>
    </row>
    <row r="685" spans="1:3" ht="16.2" x14ac:dyDescent="0.35">
      <c r="A685" s="20">
        <v>30757</v>
      </c>
      <c r="B685" s="21">
        <v>13.37</v>
      </c>
      <c r="C685" s="238">
        <f t="shared" si="22"/>
        <v>30742</v>
      </c>
    </row>
    <row r="686" spans="1:3" ht="16.2" x14ac:dyDescent="0.35">
      <c r="A686" s="20">
        <v>30764</v>
      </c>
      <c r="B686" s="21">
        <v>13.48</v>
      </c>
      <c r="C686" s="238">
        <f t="shared" si="22"/>
        <v>30742</v>
      </c>
    </row>
    <row r="687" spans="1:3" ht="16.2" x14ac:dyDescent="0.35">
      <c r="A687" s="20">
        <v>30771</v>
      </c>
      <c r="B687" s="21">
        <v>13.55</v>
      </c>
      <c r="C687" s="238">
        <f t="shared" si="22"/>
        <v>30742</v>
      </c>
    </row>
    <row r="688" spans="1:3" ht="16.2" x14ac:dyDescent="0.35">
      <c r="A688" s="20">
        <v>30778</v>
      </c>
      <c r="B688" s="21">
        <v>13.63</v>
      </c>
      <c r="C688" s="238">
        <f t="shared" si="22"/>
        <v>30773</v>
      </c>
    </row>
    <row r="689" spans="1:3" ht="16.2" x14ac:dyDescent="0.35">
      <c r="A689" s="20">
        <v>30785</v>
      </c>
      <c r="B689" s="21">
        <v>13.58</v>
      </c>
      <c r="C689" s="238">
        <f t="shared" si="22"/>
        <v>30773</v>
      </c>
    </row>
    <row r="690" spans="1:3" ht="16.2" x14ac:dyDescent="0.35">
      <c r="A690" s="20">
        <v>30792</v>
      </c>
      <c r="B690" s="21">
        <v>13.67</v>
      </c>
      <c r="C690" s="238">
        <f t="shared" si="22"/>
        <v>30773</v>
      </c>
    </row>
    <row r="691" spans="1:3" ht="16.2" x14ac:dyDescent="0.35">
      <c r="A691" s="20">
        <v>30799</v>
      </c>
      <c r="B691" s="21">
        <v>13.73</v>
      </c>
      <c r="C691" s="238">
        <f t="shared" si="22"/>
        <v>30773</v>
      </c>
    </row>
    <row r="692" spans="1:3" ht="16.2" x14ac:dyDescent="0.35">
      <c r="A692" s="20">
        <v>30806</v>
      </c>
      <c r="B692" s="21">
        <v>13.78</v>
      </c>
      <c r="C692" s="238">
        <f t="shared" si="22"/>
        <v>30803</v>
      </c>
    </row>
    <row r="693" spans="1:3" ht="16.2" x14ac:dyDescent="0.35">
      <c r="A693" s="20">
        <v>30813</v>
      </c>
      <c r="B693" s="21">
        <v>13.87</v>
      </c>
      <c r="C693" s="238">
        <f t="shared" si="22"/>
        <v>30803</v>
      </c>
    </row>
    <row r="694" spans="1:3" ht="16.2" x14ac:dyDescent="0.35">
      <c r="A694" s="20">
        <v>30820</v>
      </c>
      <c r="B694" s="21">
        <v>14.04</v>
      </c>
      <c r="C694" s="238">
        <f t="shared" si="22"/>
        <v>30803</v>
      </c>
    </row>
    <row r="695" spans="1:3" ht="16.2" x14ac:dyDescent="0.35">
      <c r="A695" s="20">
        <v>30827</v>
      </c>
      <c r="B695" s="21">
        <v>14.08</v>
      </c>
      <c r="C695" s="238">
        <f t="shared" si="22"/>
        <v>30803</v>
      </c>
    </row>
    <row r="696" spans="1:3" ht="16.2" x14ac:dyDescent="0.35">
      <c r="A696" s="20">
        <v>30834</v>
      </c>
      <c r="B696" s="21">
        <v>14.29</v>
      </c>
      <c r="C696" s="238">
        <f t="shared" si="22"/>
        <v>30834</v>
      </c>
    </row>
    <row r="697" spans="1:3" ht="16.2" x14ac:dyDescent="0.35">
      <c r="A697" s="20">
        <v>30841</v>
      </c>
      <c r="B697" s="21">
        <v>14.33</v>
      </c>
      <c r="C697" s="238">
        <f t="shared" si="22"/>
        <v>30834</v>
      </c>
    </row>
    <row r="698" spans="1:3" ht="16.2" x14ac:dyDescent="0.35">
      <c r="A698" s="20">
        <v>30848</v>
      </c>
      <c r="B698" s="21">
        <v>14.47</v>
      </c>
      <c r="C698" s="238">
        <f t="shared" si="22"/>
        <v>30834</v>
      </c>
    </row>
    <row r="699" spans="1:3" ht="16.2" x14ac:dyDescent="0.35">
      <c r="A699" s="20">
        <v>30855</v>
      </c>
      <c r="B699" s="21">
        <v>14.49</v>
      </c>
      <c r="C699" s="238">
        <f t="shared" si="22"/>
        <v>30834</v>
      </c>
    </row>
    <row r="700" spans="1:3" ht="16.2" x14ac:dyDescent="0.35">
      <c r="A700" s="20">
        <v>30862</v>
      </c>
      <c r="B700" s="21">
        <v>14.5</v>
      </c>
      <c r="C700" s="238">
        <f t="shared" si="22"/>
        <v>30834</v>
      </c>
    </row>
    <row r="701" spans="1:3" ht="16.2" x14ac:dyDescent="0.35">
      <c r="A701" s="20">
        <v>30869</v>
      </c>
      <c r="B701" s="21">
        <v>14.66</v>
      </c>
      <c r="C701" s="238">
        <f t="shared" si="22"/>
        <v>30864</v>
      </c>
    </row>
    <row r="702" spans="1:3" ht="16.2" x14ac:dyDescent="0.35">
      <c r="A702" s="20">
        <v>30876</v>
      </c>
      <c r="B702" s="21">
        <v>14.68</v>
      </c>
      <c r="C702" s="238">
        <f t="shared" si="22"/>
        <v>30864</v>
      </c>
    </row>
    <row r="703" spans="1:3" ht="16.2" x14ac:dyDescent="0.35">
      <c r="A703" s="20">
        <v>30883</v>
      </c>
      <c r="B703" s="21">
        <v>14.66</v>
      </c>
      <c r="C703" s="238">
        <f t="shared" si="22"/>
        <v>30864</v>
      </c>
    </row>
    <row r="704" spans="1:3" ht="16.2" x14ac:dyDescent="0.35">
      <c r="A704" s="20">
        <v>30890</v>
      </c>
      <c r="B704" s="21">
        <v>14.67</v>
      </c>
      <c r="C704" s="238">
        <f t="shared" si="22"/>
        <v>30864</v>
      </c>
    </row>
    <row r="705" spans="1:3" ht="16.2" x14ac:dyDescent="0.35">
      <c r="A705" s="20">
        <v>30897</v>
      </c>
      <c r="B705" s="21">
        <v>14.68</v>
      </c>
      <c r="C705" s="238">
        <f t="shared" si="22"/>
        <v>30895</v>
      </c>
    </row>
    <row r="706" spans="1:3" ht="16.2" x14ac:dyDescent="0.35">
      <c r="A706" s="20">
        <v>30904</v>
      </c>
      <c r="B706" s="21">
        <v>14.54</v>
      </c>
      <c r="C706" s="238">
        <f t="shared" si="22"/>
        <v>30895</v>
      </c>
    </row>
    <row r="707" spans="1:3" ht="16.2" x14ac:dyDescent="0.35">
      <c r="A707" s="20">
        <v>30911</v>
      </c>
      <c r="B707" s="21">
        <v>14.39</v>
      </c>
      <c r="C707" s="238">
        <f t="shared" si="22"/>
        <v>30895</v>
      </c>
    </row>
    <row r="708" spans="1:3" ht="16.2" x14ac:dyDescent="0.35">
      <c r="A708" s="20">
        <v>30918</v>
      </c>
      <c r="B708" s="21">
        <v>14.36</v>
      </c>
      <c r="C708" s="238">
        <f t="shared" si="22"/>
        <v>30895</v>
      </c>
    </row>
    <row r="709" spans="1:3" ht="16.2" x14ac:dyDescent="0.35">
      <c r="A709" s="20">
        <v>30925</v>
      </c>
      <c r="B709" s="21">
        <v>14.38</v>
      </c>
      <c r="C709" s="238">
        <f t="shared" si="22"/>
        <v>30895</v>
      </c>
    </row>
    <row r="710" spans="1:3" ht="16.2" x14ac:dyDescent="0.35">
      <c r="A710" s="20">
        <v>30932</v>
      </c>
      <c r="B710" s="21">
        <v>14.42</v>
      </c>
      <c r="C710" s="238">
        <f t="shared" si="22"/>
        <v>30926</v>
      </c>
    </row>
    <row r="711" spans="1:3" ht="16.2" x14ac:dyDescent="0.35">
      <c r="A711" s="20">
        <v>30939</v>
      </c>
      <c r="B711" s="21">
        <v>14.43</v>
      </c>
      <c r="C711" s="238">
        <f t="shared" si="22"/>
        <v>30926</v>
      </c>
    </row>
    <row r="712" spans="1:3" ht="16.2" x14ac:dyDescent="0.35">
      <c r="A712" s="20">
        <v>30946</v>
      </c>
      <c r="B712" s="21">
        <v>14.29</v>
      </c>
      <c r="C712" s="238">
        <f t="shared" si="22"/>
        <v>30926</v>
      </c>
    </row>
    <row r="713" spans="1:3" ht="16.2" x14ac:dyDescent="0.35">
      <c r="A713" s="20">
        <v>30953</v>
      </c>
      <c r="B713" s="21">
        <v>14.26</v>
      </c>
      <c r="C713" s="238">
        <f t="shared" si="22"/>
        <v>30926</v>
      </c>
    </row>
    <row r="714" spans="1:3" ht="16.2" x14ac:dyDescent="0.35">
      <c r="A714" s="20">
        <v>30960</v>
      </c>
      <c r="B714" s="21">
        <v>14.18</v>
      </c>
      <c r="C714" s="238">
        <f t="shared" si="22"/>
        <v>30956</v>
      </c>
    </row>
    <row r="715" spans="1:3" ht="16.2" x14ac:dyDescent="0.35">
      <c r="A715" s="20">
        <v>30967</v>
      </c>
      <c r="B715" s="21">
        <v>14.19</v>
      </c>
      <c r="C715" s="238">
        <f t="shared" si="22"/>
        <v>30956</v>
      </c>
    </row>
    <row r="716" spans="1:3" ht="16.2" x14ac:dyDescent="0.35">
      <c r="A716" s="20">
        <v>30974</v>
      </c>
      <c r="B716" s="21">
        <v>14.1</v>
      </c>
      <c r="C716" s="238">
        <f t="shared" si="22"/>
        <v>30956</v>
      </c>
    </row>
    <row r="717" spans="1:3" ht="16.2" x14ac:dyDescent="0.35">
      <c r="A717" s="20">
        <v>30981</v>
      </c>
      <c r="B717" s="21">
        <v>14.05</v>
      </c>
      <c r="C717" s="238">
        <f t="shared" si="22"/>
        <v>30956</v>
      </c>
    </row>
    <row r="718" spans="1:3" ht="16.2" x14ac:dyDescent="0.35">
      <c r="A718" s="20">
        <v>30988</v>
      </c>
      <c r="B718" s="21">
        <v>13.85</v>
      </c>
      <c r="C718" s="238">
        <f t="shared" si="22"/>
        <v>30987</v>
      </c>
    </row>
    <row r="719" spans="1:3" ht="16.2" x14ac:dyDescent="0.35">
      <c r="A719" s="20">
        <v>30995</v>
      </c>
      <c r="B719" s="21">
        <v>13.74</v>
      </c>
      <c r="C719" s="238">
        <f t="shared" si="22"/>
        <v>30987</v>
      </c>
    </row>
    <row r="720" spans="1:3" ht="16.2" x14ac:dyDescent="0.35">
      <c r="A720" s="20">
        <v>31002</v>
      </c>
      <c r="B720" s="21">
        <v>13.63</v>
      </c>
      <c r="C720" s="238">
        <f t="shared" ref="C720:C783" si="23">EOMONTH(A720,-1)+1</f>
        <v>30987</v>
      </c>
    </row>
    <row r="721" spans="1:3" ht="16.2" x14ac:dyDescent="0.35">
      <c r="A721" s="20">
        <v>31009</v>
      </c>
      <c r="B721" s="21">
        <v>13.55</v>
      </c>
      <c r="C721" s="238">
        <f t="shared" si="23"/>
        <v>30987</v>
      </c>
    </row>
    <row r="722" spans="1:3" ht="16.2" x14ac:dyDescent="0.35">
      <c r="A722" s="20">
        <v>31016</v>
      </c>
      <c r="B722" s="21">
        <v>13.42</v>
      </c>
      <c r="C722" s="238">
        <f t="shared" si="23"/>
        <v>30987</v>
      </c>
    </row>
    <row r="723" spans="1:3" ht="16.2" x14ac:dyDescent="0.35">
      <c r="A723" s="20">
        <v>31023</v>
      </c>
      <c r="B723" s="21">
        <v>13.2</v>
      </c>
      <c r="C723" s="238">
        <f t="shared" si="23"/>
        <v>31017</v>
      </c>
    </row>
    <row r="724" spans="1:3" ht="16.2" x14ac:dyDescent="0.35">
      <c r="A724" s="20">
        <v>31030</v>
      </c>
      <c r="B724" s="21">
        <v>13.2</v>
      </c>
      <c r="C724" s="238">
        <f t="shared" si="23"/>
        <v>31017</v>
      </c>
    </row>
    <row r="725" spans="1:3" ht="16.2" x14ac:dyDescent="0.35">
      <c r="A725" s="20">
        <v>31037</v>
      </c>
      <c r="B725" s="21">
        <v>13.18</v>
      </c>
      <c r="C725" s="238">
        <f t="shared" si="23"/>
        <v>31017</v>
      </c>
    </row>
    <row r="726" spans="1:3" ht="16.2" x14ac:dyDescent="0.35">
      <c r="A726" s="20">
        <v>31044</v>
      </c>
      <c r="B726" s="21">
        <v>13.14</v>
      </c>
      <c r="C726" s="238">
        <f t="shared" si="23"/>
        <v>31017</v>
      </c>
    </row>
    <row r="727" spans="1:3" ht="16.2" x14ac:dyDescent="0.35">
      <c r="A727" s="20">
        <v>31051</v>
      </c>
      <c r="B727" s="21">
        <v>13.1</v>
      </c>
      <c r="C727" s="238">
        <f t="shared" si="23"/>
        <v>31048</v>
      </c>
    </row>
    <row r="728" spans="1:3" ht="16.2" x14ac:dyDescent="0.35">
      <c r="A728" s="20">
        <v>31058</v>
      </c>
      <c r="B728" s="21">
        <v>13.12</v>
      </c>
      <c r="C728" s="238">
        <f t="shared" si="23"/>
        <v>31048</v>
      </c>
    </row>
    <row r="729" spans="1:3" ht="16.2" x14ac:dyDescent="0.35">
      <c r="A729" s="20">
        <v>31065</v>
      </c>
      <c r="B729" s="21">
        <v>13.12</v>
      </c>
      <c r="C729" s="238">
        <f t="shared" si="23"/>
        <v>31048</v>
      </c>
    </row>
    <row r="730" spans="1:3" ht="16.2" x14ac:dyDescent="0.35">
      <c r="A730" s="20">
        <v>31072</v>
      </c>
      <c r="B730" s="21">
        <v>12.96</v>
      </c>
      <c r="C730" s="238">
        <f t="shared" si="23"/>
        <v>31048</v>
      </c>
    </row>
    <row r="731" spans="1:3" ht="16.2" x14ac:dyDescent="0.35">
      <c r="A731" s="20">
        <v>31079</v>
      </c>
      <c r="B731" s="21">
        <v>12.93</v>
      </c>
      <c r="C731" s="238">
        <f t="shared" si="23"/>
        <v>31079</v>
      </c>
    </row>
    <row r="732" spans="1:3" ht="16.2" x14ac:dyDescent="0.35">
      <c r="A732" s="20">
        <v>31086</v>
      </c>
      <c r="B732" s="21">
        <v>12.91</v>
      </c>
      <c r="C732" s="238">
        <f t="shared" si="23"/>
        <v>31079</v>
      </c>
    </row>
    <row r="733" spans="1:3" ht="16.2" x14ac:dyDescent="0.35">
      <c r="A733" s="20">
        <v>31093</v>
      </c>
      <c r="B733" s="21">
        <v>12.9</v>
      </c>
      <c r="C733" s="238">
        <f t="shared" si="23"/>
        <v>31079</v>
      </c>
    </row>
    <row r="734" spans="1:3" ht="16.2" x14ac:dyDescent="0.35">
      <c r="A734" s="20">
        <v>31100</v>
      </c>
      <c r="B734" s="21">
        <v>12.94</v>
      </c>
      <c r="C734" s="238">
        <f t="shared" si="23"/>
        <v>31079</v>
      </c>
    </row>
    <row r="735" spans="1:3" ht="16.2" x14ac:dyDescent="0.35">
      <c r="A735" s="20">
        <v>31107</v>
      </c>
      <c r="B735" s="21">
        <v>13.02</v>
      </c>
      <c r="C735" s="238">
        <f t="shared" si="23"/>
        <v>31107</v>
      </c>
    </row>
    <row r="736" spans="1:3" ht="16.2" x14ac:dyDescent="0.35">
      <c r="A736" s="20">
        <v>31114</v>
      </c>
      <c r="B736" s="21">
        <v>13.1</v>
      </c>
      <c r="C736" s="238">
        <f t="shared" si="23"/>
        <v>31107</v>
      </c>
    </row>
    <row r="737" spans="1:3" ht="16.2" x14ac:dyDescent="0.35">
      <c r="A737" s="20">
        <v>31121</v>
      </c>
      <c r="B737" s="21">
        <v>13.2</v>
      </c>
      <c r="C737" s="238">
        <f t="shared" si="23"/>
        <v>31107</v>
      </c>
    </row>
    <row r="738" spans="1:3" ht="16.2" x14ac:dyDescent="0.35">
      <c r="A738" s="20">
        <v>31128</v>
      </c>
      <c r="B738" s="21">
        <v>13.24</v>
      </c>
      <c r="C738" s="238">
        <f t="shared" si="23"/>
        <v>31107</v>
      </c>
    </row>
    <row r="739" spans="1:3" ht="16.2" x14ac:dyDescent="0.35">
      <c r="A739" s="20">
        <v>31135</v>
      </c>
      <c r="B739" s="21">
        <v>13.29</v>
      </c>
      <c r="C739" s="238">
        <f t="shared" si="23"/>
        <v>31107</v>
      </c>
    </row>
    <row r="740" spans="1:3" ht="16.2" x14ac:dyDescent="0.35">
      <c r="A740" s="20">
        <v>31142</v>
      </c>
      <c r="B740" s="21">
        <v>13.27</v>
      </c>
      <c r="C740" s="238">
        <f t="shared" si="23"/>
        <v>31138</v>
      </c>
    </row>
    <row r="741" spans="1:3" ht="16.2" x14ac:dyDescent="0.35">
      <c r="A741" s="20">
        <v>31149</v>
      </c>
      <c r="B741" s="21">
        <v>13.23</v>
      </c>
      <c r="C741" s="238">
        <f t="shared" si="23"/>
        <v>31138</v>
      </c>
    </row>
    <row r="742" spans="1:3" ht="16.2" x14ac:dyDescent="0.35">
      <c r="A742" s="20">
        <v>31156</v>
      </c>
      <c r="B742" s="21">
        <v>13.16</v>
      </c>
      <c r="C742" s="238">
        <f t="shared" si="23"/>
        <v>31138</v>
      </c>
    </row>
    <row r="743" spans="1:3" ht="16.2" x14ac:dyDescent="0.35">
      <c r="A743" s="20">
        <v>31163</v>
      </c>
      <c r="B743" s="21">
        <v>13.12</v>
      </c>
      <c r="C743" s="238">
        <f t="shared" si="23"/>
        <v>31138</v>
      </c>
    </row>
    <row r="744" spans="1:3" ht="16.2" x14ac:dyDescent="0.35">
      <c r="A744" s="20">
        <v>31170</v>
      </c>
      <c r="B744" s="21">
        <v>13.07</v>
      </c>
      <c r="C744" s="238">
        <f t="shared" si="23"/>
        <v>31168</v>
      </c>
    </row>
    <row r="745" spans="1:3" ht="16.2" x14ac:dyDescent="0.35">
      <c r="A745" s="20">
        <v>31177</v>
      </c>
      <c r="B745" s="21">
        <v>13.02</v>
      </c>
      <c r="C745" s="238">
        <f t="shared" si="23"/>
        <v>31168</v>
      </c>
    </row>
    <row r="746" spans="1:3" ht="16.2" x14ac:dyDescent="0.35">
      <c r="A746" s="20">
        <v>31184</v>
      </c>
      <c r="B746" s="21">
        <v>12.94</v>
      </c>
      <c r="C746" s="238">
        <f t="shared" si="23"/>
        <v>31168</v>
      </c>
    </row>
    <row r="747" spans="1:3" ht="16.2" x14ac:dyDescent="0.35">
      <c r="A747" s="20">
        <v>31191</v>
      </c>
      <c r="B747" s="21">
        <v>12.83</v>
      </c>
      <c r="C747" s="238">
        <f t="shared" si="23"/>
        <v>31168</v>
      </c>
    </row>
    <row r="748" spans="1:3" ht="16.2" x14ac:dyDescent="0.35">
      <c r="A748" s="20">
        <v>31198</v>
      </c>
      <c r="B748" s="21">
        <v>12.71</v>
      </c>
      <c r="C748" s="238">
        <f t="shared" si="23"/>
        <v>31168</v>
      </c>
    </row>
    <row r="749" spans="1:3" ht="16.2" x14ac:dyDescent="0.35">
      <c r="A749" s="20">
        <v>31205</v>
      </c>
      <c r="B749" s="21">
        <v>12.39</v>
      </c>
      <c r="C749" s="238">
        <f t="shared" si="23"/>
        <v>31199</v>
      </c>
    </row>
    <row r="750" spans="1:3" ht="16.2" x14ac:dyDescent="0.35">
      <c r="A750" s="20">
        <v>31212</v>
      </c>
      <c r="B750" s="21">
        <v>12.27</v>
      </c>
      <c r="C750" s="238">
        <f t="shared" si="23"/>
        <v>31199</v>
      </c>
    </row>
    <row r="751" spans="1:3" ht="16.2" x14ac:dyDescent="0.35">
      <c r="A751" s="20">
        <v>31219</v>
      </c>
      <c r="B751" s="21">
        <v>12.05</v>
      </c>
      <c r="C751" s="238">
        <f t="shared" si="23"/>
        <v>31199</v>
      </c>
    </row>
    <row r="752" spans="1:3" ht="16.2" x14ac:dyDescent="0.35">
      <c r="A752" s="20">
        <v>31226</v>
      </c>
      <c r="B752" s="21">
        <v>12.15</v>
      </c>
      <c r="C752" s="238">
        <f t="shared" si="23"/>
        <v>31199</v>
      </c>
    </row>
    <row r="753" spans="1:3" ht="16.2" x14ac:dyDescent="0.35">
      <c r="A753" s="20">
        <v>31233</v>
      </c>
      <c r="B753" s="21">
        <v>12.13</v>
      </c>
      <c r="C753" s="238">
        <f t="shared" si="23"/>
        <v>31229</v>
      </c>
    </row>
    <row r="754" spans="1:3" ht="16.2" x14ac:dyDescent="0.35">
      <c r="A754" s="20">
        <v>31240</v>
      </c>
      <c r="B754" s="21">
        <v>12.03</v>
      </c>
      <c r="C754" s="238">
        <f t="shared" si="23"/>
        <v>31229</v>
      </c>
    </row>
    <row r="755" spans="1:3" ht="16.2" x14ac:dyDescent="0.35">
      <c r="A755" s="20">
        <v>31247</v>
      </c>
      <c r="B755" s="21">
        <v>11.94</v>
      </c>
      <c r="C755" s="238">
        <f t="shared" si="23"/>
        <v>31229</v>
      </c>
    </row>
    <row r="756" spans="1:3" ht="16.2" x14ac:dyDescent="0.35">
      <c r="A756" s="20">
        <v>31254</v>
      </c>
      <c r="B756" s="21">
        <v>12.03</v>
      </c>
      <c r="C756" s="238">
        <f t="shared" si="23"/>
        <v>31229</v>
      </c>
    </row>
    <row r="757" spans="1:3" ht="16.2" x14ac:dyDescent="0.35">
      <c r="A757" s="20">
        <v>31261</v>
      </c>
      <c r="B757" s="21">
        <v>12.17</v>
      </c>
      <c r="C757" s="238">
        <f t="shared" si="23"/>
        <v>31260</v>
      </c>
    </row>
    <row r="758" spans="1:3" ht="16.2" x14ac:dyDescent="0.35">
      <c r="A758" s="20">
        <v>31268</v>
      </c>
      <c r="B758" s="21">
        <v>12.23</v>
      </c>
      <c r="C758" s="238">
        <f t="shared" si="23"/>
        <v>31260</v>
      </c>
    </row>
    <row r="759" spans="1:3" ht="16.2" x14ac:dyDescent="0.35">
      <c r="A759" s="20">
        <v>31275</v>
      </c>
      <c r="B759" s="21">
        <v>12.24</v>
      </c>
      <c r="C759" s="238">
        <f t="shared" si="23"/>
        <v>31260</v>
      </c>
    </row>
    <row r="760" spans="1:3" ht="16.2" x14ac:dyDescent="0.35">
      <c r="A760" s="20">
        <v>31282</v>
      </c>
      <c r="B760" s="21">
        <v>12.18</v>
      </c>
      <c r="C760" s="238">
        <f t="shared" si="23"/>
        <v>31260</v>
      </c>
    </row>
    <row r="761" spans="1:3" ht="16.2" x14ac:dyDescent="0.35">
      <c r="A761" s="20">
        <v>31289</v>
      </c>
      <c r="B761" s="21">
        <v>12.11</v>
      </c>
      <c r="C761" s="238">
        <f t="shared" si="23"/>
        <v>31260</v>
      </c>
    </row>
    <row r="762" spans="1:3" ht="16.2" x14ac:dyDescent="0.35">
      <c r="A762" s="20">
        <v>31296</v>
      </c>
      <c r="B762" s="21">
        <v>12.15</v>
      </c>
      <c r="C762" s="238">
        <f t="shared" si="23"/>
        <v>31291</v>
      </c>
    </row>
    <row r="763" spans="1:3" ht="16.2" x14ac:dyDescent="0.35">
      <c r="A763" s="20">
        <v>31303</v>
      </c>
      <c r="B763" s="21">
        <v>12.24</v>
      </c>
      <c r="C763" s="238">
        <f t="shared" si="23"/>
        <v>31291</v>
      </c>
    </row>
    <row r="764" spans="1:3" ht="16.2" x14ac:dyDescent="0.35">
      <c r="A764" s="20">
        <v>31310</v>
      </c>
      <c r="B764" s="21">
        <v>12.21</v>
      </c>
      <c r="C764" s="238">
        <f t="shared" si="23"/>
        <v>31291</v>
      </c>
    </row>
    <row r="765" spans="1:3" ht="16.2" x14ac:dyDescent="0.35">
      <c r="A765" s="20">
        <v>31317</v>
      </c>
      <c r="B765" s="21">
        <v>12.17</v>
      </c>
      <c r="C765" s="238">
        <f t="shared" si="23"/>
        <v>31291</v>
      </c>
    </row>
    <row r="766" spans="1:3" ht="16.2" x14ac:dyDescent="0.35">
      <c r="A766" s="20">
        <v>31324</v>
      </c>
      <c r="B766" s="21">
        <v>12.17</v>
      </c>
      <c r="C766" s="238">
        <f t="shared" si="23"/>
        <v>31321</v>
      </c>
    </row>
    <row r="767" spans="1:3" ht="16.2" x14ac:dyDescent="0.35">
      <c r="A767" s="20">
        <v>31331</v>
      </c>
      <c r="B767" s="21">
        <v>12.17</v>
      </c>
      <c r="C767" s="238">
        <f t="shared" si="23"/>
        <v>31321</v>
      </c>
    </row>
    <row r="768" spans="1:3" ht="16.2" x14ac:dyDescent="0.35">
      <c r="A768" s="20">
        <v>31338</v>
      </c>
      <c r="B768" s="21">
        <v>12.13</v>
      </c>
      <c r="C768" s="238">
        <f t="shared" si="23"/>
        <v>31321</v>
      </c>
    </row>
    <row r="769" spans="1:3" ht="16.2" x14ac:dyDescent="0.35">
      <c r="A769" s="20">
        <v>31345</v>
      </c>
      <c r="B769" s="21">
        <v>12.07</v>
      </c>
      <c r="C769" s="238">
        <f t="shared" si="23"/>
        <v>31321</v>
      </c>
    </row>
    <row r="770" spans="1:3" ht="16.2" x14ac:dyDescent="0.35">
      <c r="A770" s="20">
        <v>31352</v>
      </c>
      <c r="B770" s="21">
        <v>12.01</v>
      </c>
      <c r="C770" s="238">
        <f t="shared" si="23"/>
        <v>31352</v>
      </c>
    </row>
    <row r="771" spans="1:3" ht="16.2" x14ac:dyDescent="0.35">
      <c r="A771" s="20">
        <v>31359</v>
      </c>
      <c r="B771" s="21">
        <v>11.9</v>
      </c>
      <c r="C771" s="238">
        <f t="shared" si="23"/>
        <v>31352</v>
      </c>
    </row>
    <row r="772" spans="1:3" ht="16.2" x14ac:dyDescent="0.35">
      <c r="A772" s="20">
        <v>31366</v>
      </c>
      <c r="B772" s="21">
        <v>11.79</v>
      </c>
      <c r="C772" s="238">
        <f t="shared" si="23"/>
        <v>31352</v>
      </c>
    </row>
    <row r="773" spans="1:3" ht="16.2" x14ac:dyDescent="0.35">
      <c r="A773" s="20">
        <v>31373</v>
      </c>
      <c r="B773" s="21">
        <v>11.64</v>
      </c>
      <c r="C773" s="238">
        <f t="shared" si="23"/>
        <v>31352</v>
      </c>
    </row>
    <row r="774" spans="1:3" ht="16.2" x14ac:dyDescent="0.35">
      <c r="A774" s="20">
        <v>31380</v>
      </c>
      <c r="B774" s="21">
        <v>11.58</v>
      </c>
      <c r="C774" s="238">
        <f t="shared" si="23"/>
        <v>31352</v>
      </c>
    </row>
    <row r="775" spans="1:3" ht="16.2" x14ac:dyDescent="0.35">
      <c r="A775" s="20">
        <v>31387</v>
      </c>
      <c r="B775" s="21">
        <v>11.5</v>
      </c>
      <c r="C775" s="238">
        <f t="shared" si="23"/>
        <v>31382</v>
      </c>
    </row>
    <row r="776" spans="1:3" ht="16.2" x14ac:dyDescent="0.35">
      <c r="A776" s="20">
        <v>31394</v>
      </c>
      <c r="B776" s="21">
        <v>11.31</v>
      </c>
      <c r="C776" s="238">
        <f t="shared" si="23"/>
        <v>31382</v>
      </c>
    </row>
    <row r="777" spans="1:3" ht="16.2" x14ac:dyDescent="0.35">
      <c r="A777" s="20">
        <v>31401</v>
      </c>
      <c r="B777" s="21">
        <v>11.14</v>
      </c>
      <c r="C777" s="238">
        <f t="shared" si="23"/>
        <v>31382</v>
      </c>
    </row>
    <row r="778" spans="1:3" ht="16.2" x14ac:dyDescent="0.35">
      <c r="A778" s="20">
        <v>31408</v>
      </c>
      <c r="B778" s="21">
        <v>11.09</v>
      </c>
      <c r="C778" s="238">
        <f t="shared" si="23"/>
        <v>31382</v>
      </c>
    </row>
    <row r="779" spans="1:3" ht="16.2" x14ac:dyDescent="0.35">
      <c r="A779" s="20">
        <v>31415</v>
      </c>
      <c r="B779" s="21">
        <v>10.81</v>
      </c>
      <c r="C779" s="238">
        <f t="shared" si="23"/>
        <v>31413</v>
      </c>
    </row>
    <row r="780" spans="1:3" ht="16.2" x14ac:dyDescent="0.35">
      <c r="A780" s="20">
        <v>31422</v>
      </c>
      <c r="B780" s="21">
        <v>10.77</v>
      </c>
      <c r="C780" s="238">
        <f t="shared" si="23"/>
        <v>31413</v>
      </c>
    </row>
    <row r="781" spans="1:3" ht="16.2" x14ac:dyDescent="0.35">
      <c r="A781" s="20">
        <v>31429</v>
      </c>
      <c r="B781" s="21">
        <v>10.99</v>
      </c>
      <c r="C781" s="238">
        <f t="shared" si="23"/>
        <v>31413</v>
      </c>
    </row>
    <row r="782" spans="1:3" ht="16.2" x14ac:dyDescent="0.35">
      <c r="A782" s="20">
        <v>31436</v>
      </c>
      <c r="B782" s="21">
        <v>10.97</v>
      </c>
      <c r="C782" s="238">
        <f t="shared" si="23"/>
        <v>31413</v>
      </c>
    </row>
    <row r="783" spans="1:3" ht="16.2" x14ac:dyDescent="0.35">
      <c r="A783" s="20">
        <v>31443</v>
      </c>
      <c r="B783" s="21">
        <v>10.89</v>
      </c>
      <c r="C783" s="238">
        <f t="shared" si="23"/>
        <v>31413</v>
      </c>
    </row>
    <row r="784" spans="1:3" ht="16.2" x14ac:dyDescent="0.35">
      <c r="A784" s="20">
        <v>31450</v>
      </c>
      <c r="B784" s="21">
        <v>10.85</v>
      </c>
      <c r="C784" s="238">
        <f t="shared" ref="C784:C847" si="24">EOMONTH(A784,-1)+1</f>
        <v>31444</v>
      </c>
    </row>
    <row r="785" spans="1:3" ht="16.2" x14ac:dyDescent="0.35">
      <c r="A785" s="20">
        <v>31457</v>
      </c>
      <c r="B785" s="21">
        <v>10.8</v>
      </c>
      <c r="C785" s="238">
        <f t="shared" si="24"/>
        <v>31444</v>
      </c>
    </row>
    <row r="786" spans="1:3" ht="16.2" x14ac:dyDescent="0.35">
      <c r="A786" s="20">
        <v>31464</v>
      </c>
      <c r="B786" s="21">
        <v>10.68</v>
      </c>
      <c r="C786" s="238">
        <f t="shared" si="24"/>
        <v>31444</v>
      </c>
    </row>
    <row r="787" spans="1:3" ht="16.2" x14ac:dyDescent="0.35">
      <c r="A787" s="20">
        <v>31471</v>
      </c>
      <c r="B787" s="21">
        <v>10.51</v>
      </c>
      <c r="C787" s="238">
        <f t="shared" si="24"/>
        <v>31444</v>
      </c>
    </row>
    <row r="788" spans="1:3" ht="16.2" x14ac:dyDescent="0.35">
      <c r="A788" s="20">
        <v>31478</v>
      </c>
      <c r="B788" s="21">
        <v>10.199999999999999</v>
      </c>
      <c r="C788" s="238">
        <f t="shared" si="24"/>
        <v>31472</v>
      </c>
    </row>
    <row r="789" spans="1:3" ht="16.2" x14ac:dyDescent="0.35">
      <c r="A789" s="20">
        <v>31485</v>
      </c>
      <c r="B789" s="21">
        <v>10.01</v>
      </c>
      <c r="C789" s="238">
        <f t="shared" si="24"/>
        <v>31472</v>
      </c>
    </row>
    <row r="790" spans="1:3" ht="16.2" x14ac:dyDescent="0.35">
      <c r="A790" s="20">
        <v>31492</v>
      </c>
      <c r="B790" s="21">
        <v>10.01</v>
      </c>
      <c r="C790" s="238">
        <f t="shared" si="24"/>
        <v>31472</v>
      </c>
    </row>
    <row r="791" spans="1:3" ht="16.2" x14ac:dyDescent="0.35">
      <c r="A791" s="20">
        <v>31499</v>
      </c>
      <c r="B791" s="21">
        <v>10.1</v>
      </c>
      <c r="C791" s="238">
        <f t="shared" si="24"/>
        <v>31472</v>
      </c>
    </row>
    <row r="792" spans="1:3" ht="16.2" x14ac:dyDescent="0.35">
      <c r="A792" s="20">
        <v>31506</v>
      </c>
      <c r="B792" s="21">
        <v>9.99</v>
      </c>
      <c r="C792" s="238">
        <f t="shared" si="24"/>
        <v>31503</v>
      </c>
    </row>
    <row r="793" spans="1:3" ht="16.2" x14ac:dyDescent="0.35">
      <c r="A793" s="20">
        <v>31513</v>
      </c>
      <c r="B793" s="21">
        <v>9.98</v>
      </c>
      <c r="C793" s="238">
        <f t="shared" si="24"/>
        <v>31503</v>
      </c>
    </row>
    <row r="794" spans="1:3" ht="16.2" x14ac:dyDescent="0.35">
      <c r="A794" s="20">
        <v>31520</v>
      </c>
      <c r="B794" s="21">
        <v>9.92</v>
      </c>
      <c r="C794" s="238">
        <f t="shared" si="24"/>
        <v>31503</v>
      </c>
    </row>
    <row r="795" spans="1:3" ht="16.2" x14ac:dyDescent="0.35">
      <c r="A795" s="20">
        <v>31527</v>
      </c>
      <c r="B795" s="21">
        <v>9.86</v>
      </c>
      <c r="C795" s="238">
        <f t="shared" si="24"/>
        <v>31503</v>
      </c>
    </row>
    <row r="796" spans="1:3" ht="16.2" x14ac:dyDescent="0.35">
      <c r="A796" s="20">
        <v>31534</v>
      </c>
      <c r="B796" s="21">
        <v>9.9</v>
      </c>
      <c r="C796" s="238">
        <f t="shared" si="24"/>
        <v>31533</v>
      </c>
    </row>
    <row r="797" spans="1:3" ht="16.2" x14ac:dyDescent="0.35">
      <c r="A797" s="20">
        <v>31541</v>
      </c>
      <c r="B797" s="21">
        <v>10</v>
      </c>
      <c r="C797" s="238">
        <f t="shared" si="24"/>
        <v>31533</v>
      </c>
    </row>
    <row r="798" spans="1:3" ht="16.2" x14ac:dyDescent="0.35">
      <c r="A798" s="20">
        <v>31548</v>
      </c>
      <c r="B798" s="21">
        <v>10.08</v>
      </c>
      <c r="C798" s="238">
        <f t="shared" si="24"/>
        <v>31533</v>
      </c>
    </row>
    <row r="799" spans="1:3" ht="16.2" x14ac:dyDescent="0.35">
      <c r="A799" s="20">
        <v>31555</v>
      </c>
      <c r="B799" s="21">
        <v>10.36</v>
      </c>
      <c r="C799" s="238">
        <f t="shared" si="24"/>
        <v>31533</v>
      </c>
    </row>
    <row r="800" spans="1:3" ht="16.2" x14ac:dyDescent="0.35">
      <c r="A800" s="20">
        <v>31562</v>
      </c>
      <c r="B800" s="21">
        <v>10.38</v>
      </c>
      <c r="C800" s="238">
        <f t="shared" si="24"/>
        <v>31533</v>
      </c>
    </row>
    <row r="801" spans="1:3" ht="16.2" x14ac:dyDescent="0.35">
      <c r="A801" s="20">
        <v>31569</v>
      </c>
      <c r="B801" s="21">
        <v>10.74</v>
      </c>
      <c r="C801" s="238">
        <f t="shared" si="24"/>
        <v>31564</v>
      </c>
    </row>
    <row r="802" spans="1:3" ht="16.2" x14ac:dyDescent="0.35">
      <c r="A802" s="20">
        <v>31576</v>
      </c>
      <c r="B802" s="21">
        <v>10.76</v>
      </c>
      <c r="C802" s="238">
        <f t="shared" si="24"/>
        <v>31564</v>
      </c>
    </row>
    <row r="803" spans="1:3" ht="16.2" x14ac:dyDescent="0.35">
      <c r="A803" s="20">
        <v>31583</v>
      </c>
      <c r="B803" s="21">
        <v>10.61</v>
      </c>
      <c r="C803" s="238">
        <f t="shared" si="24"/>
        <v>31564</v>
      </c>
    </row>
    <row r="804" spans="1:3" ht="16.2" x14ac:dyDescent="0.35">
      <c r="A804" s="20">
        <v>31590</v>
      </c>
      <c r="B804" s="21">
        <v>10.62</v>
      </c>
      <c r="C804" s="238">
        <f t="shared" si="24"/>
        <v>31564</v>
      </c>
    </row>
    <row r="805" spans="1:3" ht="16.2" x14ac:dyDescent="0.35">
      <c r="A805" s="20">
        <v>31597</v>
      </c>
      <c r="B805" s="21">
        <v>10.61</v>
      </c>
      <c r="C805" s="238">
        <f t="shared" si="24"/>
        <v>31594</v>
      </c>
    </row>
    <row r="806" spans="1:3" ht="16.2" x14ac:dyDescent="0.35">
      <c r="A806" s="20">
        <v>31604</v>
      </c>
      <c r="B806" s="21">
        <v>10.59</v>
      </c>
      <c r="C806" s="238">
        <f t="shared" si="24"/>
        <v>31594</v>
      </c>
    </row>
    <row r="807" spans="1:3" ht="16.2" x14ac:dyDescent="0.35">
      <c r="A807" s="20">
        <v>31611</v>
      </c>
      <c r="B807" s="21">
        <v>10.43</v>
      </c>
      <c r="C807" s="238">
        <f t="shared" si="24"/>
        <v>31594</v>
      </c>
    </row>
    <row r="808" spans="1:3" ht="16.2" x14ac:dyDescent="0.35">
      <c r="A808" s="20">
        <v>31618</v>
      </c>
      <c r="B808" s="21">
        <v>10.4</v>
      </c>
      <c r="C808" s="238">
        <f t="shared" si="24"/>
        <v>31594</v>
      </c>
    </row>
    <row r="809" spans="1:3" ht="16.2" x14ac:dyDescent="0.35">
      <c r="A809" s="20">
        <v>31625</v>
      </c>
      <c r="B809" s="21">
        <v>10.4</v>
      </c>
      <c r="C809" s="238">
        <f t="shared" si="24"/>
        <v>31625</v>
      </c>
    </row>
    <row r="810" spans="1:3" ht="16.2" x14ac:dyDescent="0.35">
      <c r="A810" s="20">
        <v>31632</v>
      </c>
      <c r="B810" s="21">
        <v>10.4</v>
      </c>
      <c r="C810" s="238">
        <f t="shared" si="24"/>
        <v>31625</v>
      </c>
    </row>
    <row r="811" spans="1:3" ht="16.2" x14ac:dyDescent="0.35">
      <c r="A811" s="20">
        <v>31639</v>
      </c>
      <c r="B811" s="21">
        <v>10.23</v>
      </c>
      <c r="C811" s="238">
        <f t="shared" si="24"/>
        <v>31625</v>
      </c>
    </row>
    <row r="812" spans="1:3" ht="16.2" x14ac:dyDescent="0.35">
      <c r="A812" s="20">
        <v>31646</v>
      </c>
      <c r="B812" s="21">
        <v>10.039999999999999</v>
      </c>
      <c r="C812" s="238">
        <f t="shared" si="24"/>
        <v>31625</v>
      </c>
    </row>
    <row r="813" spans="1:3" ht="16.2" x14ac:dyDescent="0.35">
      <c r="A813" s="20">
        <v>31653</v>
      </c>
      <c r="B813" s="21">
        <v>9.93</v>
      </c>
      <c r="C813" s="238">
        <f t="shared" si="24"/>
        <v>31625</v>
      </c>
    </row>
    <row r="814" spans="1:3" ht="16.2" x14ac:dyDescent="0.35">
      <c r="A814" s="20">
        <v>31660</v>
      </c>
      <c r="B814" s="21">
        <v>9.9</v>
      </c>
      <c r="C814" s="238">
        <f t="shared" si="24"/>
        <v>31656</v>
      </c>
    </row>
    <row r="815" spans="1:3" ht="16.2" x14ac:dyDescent="0.35">
      <c r="A815" s="20">
        <v>31667</v>
      </c>
      <c r="B815" s="21">
        <v>9.9600000000000009</v>
      </c>
      <c r="C815" s="238">
        <f t="shared" si="24"/>
        <v>31656</v>
      </c>
    </row>
    <row r="816" spans="1:3" ht="16.2" x14ac:dyDescent="0.35">
      <c r="A816" s="20">
        <v>31674</v>
      </c>
      <c r="B816" s="21">
        <v>10.07</v>
      </c>
      <c r="C816" s="238">
        <f t="shared" si="24"/>
        <v>31656</v>
      </c>
    </row>
    <row r="817" spans="1:3" ht="16.2" x14ac:dyDescent="0.35">
      <c r="A817" s="20">
        <v>31681</v>
      </c>
      <c r="B817" s="21">
        <v>10.1</v>
      </c>
      <c r="C817" s="238">
        <f t="shared" si="24"/>
        <v>31656</v>
      </c>
    </row>
    <row r="818" spans="1:3" ht="16.2" x14ac:dyDescent="0.35">
      <c r="A818" s="20">
        <v>31688</v>
      </c>
      <c r="B818" s="21">
        <v>10.08</v>
      </c>
      <c r="C818" s="238">
        <f t="shared" si="24"/>
        <v>31686</v>
      </c>
    </row>
    <row r="819" spans="1:3" ht="16.2" x14ac:dyDescent="0.35">
      <c r="A819" s="20">
        <v>31695</v>
      </c>
      <c r="B819" s="21">
        <v>9.99</v>
      </c>
      <c r="C819" s="238">
        <f t="shared" si="24"/>
        <v>31686</v>
      </c>
    </row>
    <row r="820" spans="1:3" ht="16.2" x14ac:dyDescent="0.35">
      <c r="A820" s="20">
        <v>31702</v>
      </c>
      <c r="B820" s="21">
        <v>9.9600000000000009</v>
      </c>
      <c r="C820" s="238">
        <f t="shared" si="24"/>
        <v>31686</v>
      </c>
    </row>
    <row r="821" spans="1:3" ht="16.2" x14ac:dyDescent="0.35">
      <c r="A821" s="20">
        <v>31709</v>
      </c>
      <c r="B821" s="21">
        <v>9.9499999999999993</v>
      </c>
      <c r="C821" s="238">
        <f t="shared" si="24"/>
        <v>31686</v>
      </c>
    </row>
    <row r="822" spans="1:3" ht="16.2" x14ac:dyDescent="0.35">
      <c r="A822" s="20">
        <v>31716</v>
      </c>
      <c r="B822" s="21">
        <v>9.89</v>
      </c>
      <c r="C822" s="238">
        <f t="shared" si="24"/>
        <v>31686</v>
      </c>
    </row>
    <row r="823" spans="1:3" ht="16.2" x14ac:dyDescent="0.35">
      <c r="A823" s="20">
        <v>31723</v>
      </c>
      <c r="B823" s="21">
        <v>9.83</v>
      </c>
      <c r="C823" s="238">
        <f t="shared" si="24"/>
        <v>31717</v>
      </c>
    </row>
    <row r="824" spans="1:3" ht="16.2" x14ac:dyDescent="0.35">
      <c r="A824" s="20">
        <v>31730</v>
      </c>
      <c r="B824" s="21">
        <v>9.81</v>
      </c>
      <c r="C824" s="238">
        <f t="shared" si="24"/>
        <v>31717</v>
      </c>
    </row>
    <row r="825" spans="1:3" ht="16.2" x14ac:dyDescent="0.35">
      <c r="A825" s="20">
        <v>31737</v>
      </c>
      <c r="B825" s="21">
        <v>9.64</v>
      </c>
      <c r="C825" s="238">
        <f t="shared" si="24"/>
        <v>31717</v>
      </c>
    </row>
    <row r="826" spans="1:3" ht="16.2" x14ac:dyDescent="0.35">
      <c r="A826" s="20">
        <v>31744</v>
      </c>
      <c r="B826" s="21">
        <v>9.5</v>
      </c>
      <c r="C826" s="238">
        <f t="shared" si="24"/>
        <v>31717</v>
      </c>
    </row>
    <row r="827" spans="1:3" ht="16.2" x14ac:dyDescent="0.35">
      <c r="A827" s="20">
        <v>31751</v>
      </c>
      <c r="B827" s="21">
        <v>9.3000000000000007</v>
      </c>
      <c r="C827" s="238">
        <f t="shared" si="24"/>
        <v>31747</v>
      </c>
    </row>
    <row r="828" spans="1:3" ht="16.2" x14ac:dyDescent="0.35">
      <c r="A828" s="20">
        <v>31758</v>
      </c>
      <c r="B828" s="21">
        <v>9.35</v>
      </c>
      <c r="C828" s="238">
        <f t="shared" si="24"/>
        <v>31747</v>
      </c>
    </row>
    <row r="829" spans="1:3" ht="16.2" x14ac:dyDescent="0.35">
      <c r="A829" s="20">
        <v>31765</v>
      </c>
      <c r="B829" s="21">
        <v>9.3000000000000007</v>
      </c>
      <c r="C829" s="238">
        <f t="shared" si="24"/>
        <v>31747</v>
      </c>
    </row>
    <row r="830" spans="1:3" ht="16.2" x14ac:dyDescent="0.35">
      <c r="A830" s="20">
        <v>31772</v>
      </c>
      <c r="B830" s="21">
        <v>9.2899999999999991</v>
      </c>
      <c r="C830" s="238">
        <f t="shared" si="24"/>
        <v>31747</v>
      </c>
    </row>
    <row r="831" spans="1:3" ht="16.2" x14ac:dyDescent="0.35">
      <c r="A831" s="20">
        <v>31779</v>
      </c>
      <c r="B831" s="21">
        <v>9.3699999999999992</v>
      </c>
      <c r="C831" s="238">
        <f t="shared" si="24"/>
        <v>31778</v>
      </c>
    </row>
    <row r="832" spans="1:3" ht="16.2" x14ac:dyDescent="0.35">
      <c r="A832" s="20">
        <v>31786</v>
      </c>
      <c r="B832" s="21">
        <v>9.32</v>
      </c>
      <c r="C832" s="238">
        <f t="shared" si="24"/>
        <v>31778</v>
      </c>
    </row>
    <row r="833" spans="1:3" ht="16.2" x14ac:dyDescent="0.35">
      <c r="A833" s="20">
        <v>31793</v>
      </c>
      <c r="B833" s="21">
        <v>9.2100000000000009</v>
      </c>
      <c r="C833" s="238">
        <f t="shared" si="24"/>
        <v>31778</v>
      </c>
    </row>
    <row r="834" spans="1:3" ht="16.2" x14ac:dyDescent="0.35">
      <c r="A834" s="20">
        <v>31800</v>
      </c>
      <c r="B834" s="21">
        <v>9.0399999999999991</v>
      </c>
      <c r="C834" s="238">
        <f t="shared" si="24"/>
        <v>31778</v>
      </c>
    </row>
    <row r="835" spans="1:3" ht="16.2" x14ac:dyDescent="0.35">
      <c r="A835" s="20">
        <v>31807</v>
      </c>
      <c r="B835" s="21">
        <v>9.08</v>
      </c>
      <c r="C835" s="238">
        <f t="shared" si="24"/>
        <v>31778</v>
      </c>
    </row>
    <row r="836" spans="1:3" ht="16.2" x14ac:dyDescent="0.35">
      <c r="A836" s="20">
        <v>31814</v>
      </c>
      <c r="B836" s="21">
        <v>9.06</v>
      </c>
      <c r="C836" s="238">
        <f t="shared" si="24"/>
        <v>31809</v>
      </c>
    </row>
    <row r="837" spans="1:3" ht="16.2" x14ac:dyDescent="0.35">
      <c r="A837" s="20">
        <v>31821</v>
      </c>
      <c r="B837" s="21">
        <v>9.09</v>
      </c>
      <c r="C837" s="238">
        <f t="shared" si="24"/>
        <v>31809</v>
      </c>
    </row>
    <row r="838" spans="1:3" ht="16.2" x14ac:dyDescent="0.35">
      <c r="A838" s="20">
        <v>31828</v>
      </c>
      <c r="B838" s="21">
        <v>9.11</v>
      </c>
      <c r="C838" s="238">
        <f t="shared" si="24"/>
        <v>31809</v>
      </c>
    </row>
    <row r="839" spans="1:3" ht="16.2" x14ac:dyDescent="0.35">
      <c r="A839" s="20">
        <v>31835</v>
      </c>
      <c r="B839" s="21">
        <v>9.07</v>
      </c>
      <c r="C839" s="238">
        <f t="shared" si="24"/>
        <v>31809</v>
      </c>
    </row>
    <row r="840" spans="1:3" ht="16.2" x14ac:dyDescent="0.35">
      <c r="A840" s="20">
        <v>31842</v>
      </c>
      <c r="B840" s="21">
        <v>9.0299999999999994</v>
      </c>
      <c r="C840" s="238">
        <f t="shared" si="24"/>
        <v>31837</v>
      </c>
    </row>
    <row r="841" spans="1:3" ht="16.2" x14ac:dyDescent="0.35">
      <c r="A841" s="20">
        <v>31849</v>
      </c>
      <c r="B841" s="21">
        <v>9.0500000000000007</v>
      </c>
      <c r="C841" s="238">
        <f t="shared" si="24"/>
        <v>31837</v>
      </c>
    </row>
    <row r="842" spans="1:3" ht="16.2" x14ac:dyDescent="0.35">
      <c r="A842" s="20">
        <v>31856</v>
      </c>
      <c r="B842" s="21">
        <v>9.0299999999999994</v>
      </c>
      <c r="C842" s="238">
        <f t="shared" si="24"/>
        <v>31837</v>
      </c>
    </row>
    <row r="843" spans="1:3" ht="16.2" x14ac:dyDescent="0.35">
      <c r="A843" s="20">
        <v>31863</v>
      </c>
      <c r="B843" s="21">
        <v>9.0299999999999994</v>
      </c>
      <c r="C843" s="238">
        <f t="shared" si="24"/>
        <v>31837</v>
      </c>
    </row>
    <row r="844" spans="1:3" ht="16.2" x14ac:dyDescent="0.35">
      <c r="A844" s="20">
        <v>31870</v>
      </c>
      <c r="B844" s="21">
        <v>9.26</v>
      </c>
      <c r="C844" s="238">
        <f t="shared" si="24"/>
        <v>31868</v>
      </c>
    </row>
    <row r="845" spans="1:3" ht="16.2" x14ac:dyDescent="0.35">
      <c r="A845" s="20">
        <v>31877</v>
      </c>
      <c r="B845" s="21">
        <v>9.43</v>
      </c>
      <c r="C845" s="238">
        <f t="shared" si="24"/>
        <v>31868</v>
      </c>
    </row>
    <row r="846" spans="1:3" ht="16.2" x14ac:dyDescent="0.35">
      <c r="A846" s="20">
        <v>31884</v>
      </c>
      <c r="B846" s="21">
        <v>10.27</v>
      </c>
      <c r="C846" s="238">
        <f t="shared" si="24"/>
        <v>31868</v>
      </c>
    </row>
    <row r="847" spans="1:3" ht="16.2" x14ac:dyDescent="0.35">
      <c r="A847" s="20">
        <v>31891</v>
      </c>
      <c r="B847" s="21">
        <v>10.37</v>
      </c>
      <c r="C847" s="238">
        <f t="shared" si="24"/>
        <v>31868</v>
      </c>
    </row>
    <row r="848" spans="1:3" ht="16.2" x14ac:dyDescent="0.35">
      <c r="A848" s="20">
        <v>31898</v>
      </c>
      <c r="B848" s="21">
        <v>10.47</v>
      </c>
      <c r="C848" s="238">
        <f t="shared" ref="C848:C911" si="25">EOMONTH(A848,-1)+1</f>
        <v>31898</v>
      </c>
    </row>
    <row r="849" spans="1:3" ht="16.2" x14ac:dyDescent="0.35">
      <c r="A849" s="20">
        <v>31905</v>
      </c>
      <c r="B849" s="21">
        <v>10.52</v>
      </c>
      <c r="C849" s="238">
        <f t="shared" si="25"/>
        <v>31898</v>
      </c>
    </row>
    <row r="850" spans="1:3" ht="16.2" x14ac:dyDescent="0.35">
      <c r="A850" s="20">
        <v>31912</v>
      </c>
      <c r="B850" s="21">
        <v>10.48</v>
      </c>
      <c r="C850" s="238">
        <f t="shared" si="25"/>
        <v>31898</v>
      </c>
    </row>
    <row r="851" spans="1:3" ht="16.2" x14ac:dyDescent="0.35">
      <c r="A851" s="20">
        <v>31919</v>
      </c>
      <c r="B851" s="21">
        <v>10.81</v>
      </c>
      <c r="C851" s="238">
        <f t="shared" si="25"/>
        <v>31898</v>
      </c>
    </row>
    <row r="852" spans="1:3" ht="16.2" x14ac:dyDescent="0.35">
      <c r="A852" s="20">
        <v>31926</v>
      </c>
      <c r="B852" s="21">
        <v>10.7</v>
      </c>
      <c r="C852" s="238">
        <f t="shared" si="25"/>
        <v>31898</v>
      </c>
    </row>
    <row r="853" spans="1:3" ht="16.2" x14ac:dyDescent="0.35">
      <c r="A853" s="20">
        <v>31933</v>
      </c>
      <c r="B853" s="21">
        <v>10.7</v>
      </c>
      <c r="C853" s="238">
        <f t="shared" si="25"/>
        <v>31929</v>
      </c>
    </row>
    <row r="854" spans="1:3" ht="16.2" x14ac:dyDescent="0.35">
      <c r="A854" s="20">
        <v>31940</v>
      </c>
      <c r="B854" s="21">
        <v>10.66</v>
      </c>
      <c r="C854" s="238">
        <f t="shared" si="25"/>
        <v>31929</v>
      </c>
    </row>
    <row r="855" spans="1:3" ht="16.2" x14ac:dyDescent="0.35">
      <c r="A855" s="20">
        <v>31947</v>
      </c>
      <c r="B855" s="21">
        <v>10.44</v>
      </c>
      <c r="C855" s="238">
        <f t="shared" si="25"/>
        <v>31929</v>
      </c>
    </row>
    <row r="856" spans="1:3" ht="16.2" x14ac:dyDescent="0.35">
      <c r="A856" s="20">
        <v>31954</v>
      </c>
      <c r="B856" s="21">
        <v>10.35</v>
      </c>
      <c r="C856" s="238">
        <f t="shared" si="25"/>
        <v>31929</v>
      </c>
    </row>
    <row r="857" spans="1:3" ht="16.2" x14ac:dyDescent="0.35">
      <c r="A857" s="20">
        <v>31961</v>
      </c>
      <c r="B857" s="21">
        <v>10.36</v>
      </c>
      <c r="C857" s="238">
        <f t="shared" si="25"/>
        <v>31959</v>
      </c>
    </row>
    <row r="858" spans="1:3" ht="16.2" x14ac:dyDescent="0.35">
      <c r="A858" s="20">
        <v>31968</v>
      </c>
      <c r="B858" s="21">
        <v>10.3</v>
      </c>
      <c r="C858" s="238">
        <f t="shared" si="25"/>
        <v>31959</v>
      </c>
    </row>
    <row r="859" spans="1:3" ht="16.2" x14ac:dyDescent="0.35">
      <c r="A859" s="20">
        <v>31975</v>
      </c>
      <c r="B859" s="21">
        <v>10.23</v>
      </c>
      <c r="C859" s="238">
        <f t="shared" si="25"/>
        <v>31959</v>
      </c>
    </row>
    <row r="860" spans="1:3" ht="16.2" x14ac:dyDescent="0.35">
      <c r="A860" s="20">
        <v>31982</v>
      </c>
      <c r="B860" s="21">
        <v>10.23</v>
      </c>
      <c r="C860" s="238">
        <f t="shared" si="25"/>
        <v>31959</v>
      </c>
    </row>
    <row r="861" spans="1:3" ht="16.2" x14ac:dyDescent="0.35">
      <c r="A861" s="20">
        <v>31989</v>
      </c>
      <c r="B861" s="21">
        <v>10.27</v>
      </c>
      <c r="C861" s="238">
        <f t="shared" si="25"/>
        <v>31959</v>
      </c>
    </row>
    <row r="862" spans="1:3" ht="16.2" x14ac:dyDescent="0.35">
      <c r="A862" s="20">
        <v>31996</v>
      </c>
      <c r="B862" s="21">
        <v>10.35</v>
      </c>
      <c r="C862" s="238">
        <f t="shared" si="25"/>
        <v>31990</v>
      </c>
    </row>
    <row r="863" spans="1:3" ht="16.2" x14ac:dyDescent="0.35">
      <c r="A863" s="20">
        <v>32003</v>
      </c>
      <c r="B863" s="21">
        <v>10.34</v>
      </c>
      <c r="C863" s="238">
        <f t="shared" si="25"/>
        <v>31990</v>
      </c>
    </row>
    <row r="864" spans="1:3" ht="16.2" x14ac:dyDescent="0.35">
      <c r="A864" s="20">
        <v>32010</v>
      </c>
      <c r="B864" s="21">
        <v>10.3</v>
      </c>
      <c r="C864" s="238">
        <f t="shared" si="25"/>
        <v>31990</v>
      </c>
    </row>
    <row r="865" spans="1:3" ht="16.2" x14ac:dyDescent="0.35">
      <c r="A865" s="20">
        <v>32017</v>
      </c>
      <c r="B865" s="21">
        <v>10.33</v>
      </c>
      <c r="C865" s="238">
        <f t="shared" si="25"/>
        <v>31990</v>
      </c>
    </row>
    <row r="866" spans="1:3" ht="16.2" x14ac:dyDescent="0.35">
      <c r="A866" s="20">
        <v>32024</v>
      </c>
      <c r="B866" s="21">
        <v>10.63</v>
      </c>
      <c r="C866" s="238">
        <f t="shared" si="25"/>
        <v>32021</v>
      </c>
    </row>
    <row r="867" spans="1:3" ht="16.2" x14ac:dyDescent="0.35">
      <c r="A867" s="20">
        <v>32031</v>
      </c>
      <c r="B867" s="21">
        <v>10.91</v>
      </c>
      <c r="C867" s="238">
        <f t="shared" si="25"/>
        <v>32021</v>
      </c>
    </row>
    <row r="868" spans="1:3" ht="16.2" x14ac:dyDescent="0.35">
      <c r="A868" s="20">
        <v>32038</v>
      </c>
      <c r="B868" s="21">
        <v>10.99</v>
      </c>
      <c r="C868" s="238">
        <f t="shared" si="25"/>
        <v>32021</v>
      </c>
    </row>
    <row r="869" spans="1:3" ht="16.2" x14ac:dyDescent="0.35">
      <c r="A869" s="20">
        <v>32045</v>
      </c>
      <c r="B869" s="21">
        <v>11.02</v>
      </c>
      <c r="C869" s="238">
        <f t="shared" si="25"/>
        <v>32021</v>
      </c>
    </row>
    <row r="870" spans="1:3" ht="16.2" x14ac:dyDescent="0.35">
      <c r="A870" s="20">
        <v>32052</v>
      </c>
      <c r="B870" s="21">
        <v>11.18</v>
      </c>
      <c r="C870" s="238">
        <f t="shared" si="25"/>
        <v>32051</v>
      </c>
    </row>
    <row r="871" spans="1:3" ht="16.2" x14ac:dyDescent="0.35">
      <c r="A871" s="20">
        <v>32059</v>
      </c>
      <c r="B871" s="21">
        <v>11.21</v>
      </c>
      <c r="C871" s="238">
        <f t="shared" si="25"/>
        <v>32051</v>
      </c>
    </row>
    <row r="872" spans="1:3" ht="16.2" x14ac:dyDescent="0.35">
      <c r="A872" s="20">
        <v>32066</v>
      </c>
      <c r="B872" s="21">
        <v>11.58</v>
      </c>
      <c r="C872" s="238">
        <f t="shared" si="25"/>
        <v>32051</v>
      </c>
    </row>
    <row r="873" spans="1:3" ht="16.2" x14ac:dyDescent="0.35">
      <c r="A873" s="20">
        <v>32073</v>
      </c>
      <c r="B873" s="21">
        <v>11.36</v>
      </c>
      <c r="C873" s="238">
        <f t="shared" si="25"/>
        <v>32051</v>
      </c>
    </row>
    <row r="874" spans="1:3" ht="16.2" x14ac:dyDescent="0.35">
      <c r="A874" s="20">
        <v>32080</v>
      </c>
      <c r="B874" s="21">
        <v>10.97</v>
      </c>
      <c r="C874" s="238">
        <f t="shared" si="25"/>
        <v>32051</v>
      </c>
    </row>
    <row r="875" spans="1:3" ht="16.2" x14ac:dyDescent="0.35">
      <c r="A875" s="20">
        <v>32087</v>
      </c>
      <c r="B875" s="21">
        <v>10.79</v>
      </c>
      <c r="C875" s="238">
        <f t="shared" si="25"/>
        <v>32082</v>
      </c>
    </row>
    <row r="876" spans="1:3" ht="16.2" x14ac:dyDescent="0.35">
      <c r="A876" s="20">
        <v>32094</v>
      </c>
      <c r="B876" s="21">
        <v>10.66</v>
      </c>
      <c r="C876" s="238">
        <f t="shared" si="25"/>
        <v>32082</v>
      </c>
    </row>
    <row r="877" spans="1:3" ht="16.2" x14ac:dyDescent="0.35">
      <c r="A877" s="20">
        <v>32101</v>
      </c>
      <c r="B877" s="21">
        <v>10.6</v>
      </c>
      <c r="C877" s="238">
        <f t="shared" si="25"/>
        <v>32082</v>
      </c>
    </row>
    <row r="878" spans="1:3" ht="16.2" x14ac:dyDescent="0.35">
      <c r="A878" s="20">
        <v>32108</v>
      </c>
      <c r="B878" s="21">
        <v>10.55</v>
      </c>
      <c r="C878" s="238">
        <f t="shared" si="25"/>
        <v>32082</v>
      </c>
    </row>
    <row r="879" spans="1:3" ht="16.2" x14ac:dyDescent="0.35">
      <c r="A879" s="20">
        <v>32115</v>
      </c>
      <c r="B879" s="21">
        <v>10.6</v>
      </c>
      <c r="C879" s="238">
        <f t="shared" si="25"/>
        <v>32112</v>
      </c>
    </row>
    <row r="880" spans="1:3" ht="16.2" x14ac:dyDescent="0.35">
      <c r="A880" s="20">
        <v>32122</v>
      </c>
      <c r="B880" s="21">
        <v>10.66</v>
      </c>
      <c r="C880" s="238">
        <f t="shared" si="25"/>
        <v>32112</v>
      </c>
    </row>
    <row r="881" spans="1:3" ht="16.2" x14ac:dyDescent="0.35">
      <c r="A881" s="20">
        <v>32129</v>
      </c>
      <c r="B881" s="21">
        <v>10.69</v>
      </c>
      <c r="C881" s="238">
        <f t="shared" si="25"/>
        <v>32112</v>
      </c>
    </row>
    <row r="882" spans="1:3" ht="16.2" x14ac:dyDescent="0.35">
      <c r="A882" s="20">
        <v>32136</v>
      </c>
      <c r="B882" s="21">
        <v>10.64</v>
      </c>
      <c r="C882" s="238">
        <f t="shared" si="25"/>
        <v>32112</v>
      </c>
    </row>
    <row r="883" spans="1:3" ht="16.2" x14ac:dyDescent="0.35">
      <c r="A883" s="20">
        <v>32142</v>
      </c>
      <c r="B883" s="21">
        <v>10.61</v>
      </c>
      <c r="C883" s="238">
        <f t="shared" si="25"/>
        <v>32112</v>
      </c>
    </row>
    <row r="884" spans="1:3" ht="16.2" x14ac:dyDescent="0.35">
      <c r="A884" s="20">
        <v>32150</v>
      </c>
      <c r="B884" s="21">
        <v>10.5</v>
      </c>
      <c r="C884" s="238">
        <f t="shared" si="25"/>
        <v>32143</v>
      </c>
    </row>
    <row r="885" spans="1:3" ht="16.2" x14ac:dyDescent="0.35">
      <c r="A885" s="20">
        <v>32157</v>
      </c>
      <c r="B885" s="21">
        <v>10.53</v>
      </c>
      <c r="C885" s="238">
        <f t="shared" si="25"/>
        <v>32143</v>
      </c>
    </row>
    <row r="886" spans="1:3" ht="16.2" x14ac:dyDescent="0.35">
      <c r="A886" s="20">
        <v>32164</v>
      </c>
      <c r="B886" s="21">
        <v>10.34</v>
      </c>
      <c r="C886" s="238">
        <f t="shared" si="25"/>
        <v>32143</v>
      </c>
    </row>
    <row r="887" spans="1:3" ht="16.2" x14ac:dyDescent="0.35">
      <c r="A887" s="20">
        <v>32171</v>
      </c>
      <c r="B887" s="21">
        <v>10.16</v>
      </c>
      <c r="C887" s="238">
        <f t="shared" si="25"/>
        <v>32143</v>
      </c>
    </row>
    <row r="888" spans="1:3" ht="16.2" x14ac:dyDescent="0.35">
      <c r="A888" s="20">
        <v>32178</v>
      </c>
      <c r="B888" s="21">
        <v>9.94</v>
      </c>
      <c r="C888" s="238">
        <f t="shared" si="25"/>
        <v>32174</v>
      </c>
    </row>
    <row r="889" spans="1:3" ht="16.2" x14ac:dyDescent="0.35">
      <c r="A889" s="20">
        <v>32185</v>
      </c>
      <c r="B889" s="21">
        <v>9.84</v>
      </c>
      <c r="C889" s="238">
        <f t="shared" si="25"/>
        <v>32174</v>
      </c>
    </row>
    <row r="890" spans="1:3" ht="16.2" x14ac:dyDescent="0.35">
      <c r="A890" s="20">
        <v>32192</v>
      </c>
      <c r="B890" s="21">
        <v>9.92</v>
      </c>
      <c r="C890" s="238">
        <f t="shared" si="25"/>
        <v>32174</v>
      </c>
    </row>
    <row r="891" spans="1:3" ht="16.2" x14ac:dyDescent="0.35">
      <c r="A891" s="20">
        <v>32199</v>
      </c>
      <c r="B891" s="21">
        <v>9.8699999999999992</v>
      </c>
      <c r="C891" s="238">
        <f t="shared" si="25"/>
        <v>32174</v>
      </c>
    </row>
    <row r="892" spans="1:3" ht="16.2" x14ac:dyDescent="0.35">
      <c r="A892" s="20">
        <v>32206</v>
      </c>
      <c r="B892" s="21">
        <v>9.85</v>
      </c>
      <c r="C892" s="238">
        <f t="shared" si="25"/>
        <v>32203</v>
      </c>
    </row>
    <row r="893" spans="1:3" ht="16.2" x14ac:dyDescent="0.35">
      <c r="A893" s="20">
        <v>32213</v>
      </c>
      <c r="B893" s="21">
        <v>9.9600000000000009</v>
      </c>
      <c r="C893" s="238">
        <f t="shared" si="25"/>
        <v>32203</v>
      </c>
    </row>
    <row r="894" spans="1:3" ht="16.2" x14ac:dyDescent="0.35">
      <c r="A894" s="20">
        <v>32220</v>
      </c>
      <c r="B894" s="21">
        <v>9.92</v>
      </c>
      <c r="C894" s="238">
        <f t="shared" si="25"/>
        <v>32203</v>
      </c>
    </row>
    <row r="895" spans="1:3" ht="16.2" x14ac:dyDescent="0.35">
      <c r="A895" s="20">
        <v>32227</v>
      </c>
      <c r="B895" s="21">
        <v>9.99</v>
      </c>
      <c r="C895" s="238">
        <f t="shared" si="25"/>
        <v>32203</v>
      </c>
    </row>
    <row r="896" spans="1:3" ht="16.2" x14ac:dyDescent="0.35">
      <c r="A896" s="20">
        <v>32234</v>
      </c>
      <c r="B896" s="21">
        <v>10.050000000000001</v>
      </c>
      <c r="C896" s="238">
        <f t="shared" si="25"/>
        <v>32234</v>
      </c>
    </row>
    <row r="897" spans="1:3" ht="16.2" x14ac:dyDescent="0.35">
      <c r="A897" s="20">
        <v>32241</v>
      </c>
      <c r="B897" s="21">
        <v>10.19</v>
      </c>
      <c r="C897" s="238">
        <f t="shared" si="25"/>
        <v>32234</v>
      </c>
    </row>
    <row r="898" spans="1:3" ht="16.2" x14ac:dyDescent="0.35">
      <c r="A898" s="20">
        <v>32248</v>
      </c>
      <c r="B898" s="21">
        <v>10.19</v>
      </c>
      <c r="C898" s="238">
        <f t="shared" si="25"/>
        <v>32234</v>
      </c>
    </row>
    <row r="899" spans="1:3" ht="16.2" x14ac:dyDescent="0.35">
      <c r="A899" s="20">
        <v>32255</v>
      </c>
      <c r="B899" s="21">
        <v>10.3</v>
      </c>
      <c r="C899" s="238">
        <f t="shared" si="25"/>
        <v>32234</v>
      </c>
    </row>
    <row r="900" spans="1:3" ht="16.2" x14ac:dyDescent="0.35">
      <c r="A900" s="20">
        <v>32262</v>
      </c>
      <c r="B900" s="21">
        <v>10.28</v>
      </c>
      <c r="C900" s="238">
        <f t="shared" si="25"/>
        <v>32234</v>
      </c>
    </row>
    <row r="901" spans="1:3" ht="16.2" x14ac:dyDescent="0.35">
      <c r="A901" s="20">
        <v>32269</v>
      </c>
      <c r="B901" s="21">
        <v>10.32</v>
      </c>
      <c r="C901" s="238">
        <f t="shared" si="25"/>
        <v>32264</v>
      </c>
    </row>
    <row r="902" spans="1:3" ht="16.2" x14ac:dyDescent="0.35">
      <c r="A902" s="20">
        <v>32276</v>
      </c>
      <c r="B902" s="21">
        <v>10.4</v>
      </c>
      <c r="C902" s="238">
        <f t="shared" si="25"/>
        <v>32264</v>
      </c>
    </row>
    <row r="903" spans="1:3" ht="16.2" x14ac:dyDescent="0.35">
      <c r="A903" s="20">
        <v>32283</v>
      </c>
      <c r="B903" s="21">
        <v>10.52</v>
      </c>
      <c r="C903" s="238">
        <f t="shared" si="25"/>
        <v>32264</v>
      </c>
    </row>
    <row r="904" spans="1:3" ht="16.2" x14ac:dyDescent="0.35">
      <c r="A904" s="20">
        <v>32290</v>
      </c>
      <c r="B904" s="21">
        <v>10.58</v>
      </c>
      <c r="C904" s="238">
        <f t="shared" si="25"/>
        <v>32264</v>
      </c>
    </row>
    <row r="905" spans="1:3" ht="16.2" x14ac:dyDescent="0.35">
      <c r="A905" s="20">
        <v>32297</v>
      </c>
      <c r="B905" s="21">
        <v>10.58</v>
      </c>
      <c r="C905" s="238">
        <f t="shared" si="25"/>
        <v>32295</v>
      </c>
    </row>
    <row r="906" spans="1:3" ht="16.2" x14ac:dyDescent="0.35">
      <c r="A906" s="20">
        <v>32304</v>
      </c>
      <c r="B906" s="21">
        <v>10.51</v>
      </c>
      <c r="C906" s="238">
        <f t="shared" si="25"/>
        <v>32295</v>
      </c>
    </row>
    <row r="907" spans="1:3" ht="16.2" x14ac:dyDescent="0.35">
      <c r="A907" s="20">
        <v>32311</v>
      </c>
      <c r="B907" s="21">
        <v>10.35</v>
      </c>
      <c r="C907" s="238">
        <f t="shared" si="25"/>
        <v>32295</v>
      </c>
    </row>
    <row r="908" spans="1:3" ht="16.2" x14ac:dyDescent="0.35">
      <c r="A908" s="20">
        <v>32318</v>
      </c>
      <c r="B908" s="21">
        <v>10.4</v>
      </c>
      <c r="C908" s="238">
        <f t="shared" si="25"/>
        <v>32295</v>
      </c>
    </row>
    <row r="909" spans="1:3" ht="16.2" x14ac:dyDescent="0.35">
      <c r="A909" s="20">
        <v>32325</v>
      </c>
      <c r="B909" s="21">
        <v>10.39</v>
      </c>
      <c r="C909" s="238">
        <f t="shared" si="25"/>
        <v>32325</v>
      </c>
    </row>
    <row r="910" spans="1:3" ht="16.2" x14ac:dyDescent="0.35">
      <c r="A910" s="20">
        <v>32332</v>
      </c>
      <c r="B910" s="21">
        <v>10.38</v>
      </c>
      <c r="C910" s="238">
        <f t="shared" si="25"/>
        <v>32325</v>
      </c>
    </row>
    <row r="911" spans="1:3" ht="16.2" x14ac:dyDescent="0.35">
      <c r="A911" s="20">
        <v>32339</v>
      </c>
      <c r="B911" s="21">
        <v>10.44</v>
      </c>
      <c r="C911" s="238">
        <f t="shared" si="25"/>
        <v>32325</v>
      </c>
    </row>
    <row r="912" spans="1:3" ht="16.2" x14ac:dyDescent="0.35">
      <c r="A912" s="20">
        <v>32346</v>
      </c>
      <c r="B912" s="21">
        <v>10.46</v>
      </c>
      <c r="C912" s="238">
        <f t="shared" ref="C912:C975" si="26">EOMONTH(A912,-1)+1</f>
        <v>32325</v>
      </c>
    </row>
    <row r="913" spans="1:3" ht="16.2" x14ac:dyDescent="0.35">
      <c r="A913" s="20">
        <v>32353</v>
      </c>
      <c r="B913" s="21">
        <v>10.49</v>
      </c>
      <c r="C913" s="238">
        <f t="shared" si="26"/>
        <v>32325</v>
      </c>
    </row>
    <row r="914" spans="1:3" ht="16.2" x14ac:dyDescent="0.35">
      <c r="A914" s="20">
        <v>32360</v>
      </c>
      <c r="B914" s="21">
        <v>10.44</v>
      </c>
      <c r="C914" s="238">
        <f t="shared" si="26"/>
        <v>32356</v>
      </c>
    </row>
    <row r="915" spans="1:3" ht="16.2" x14ac:dyDescent="0.35">
      <c r="A915" s="20">
        <v>32367</v>
      </c>
      <c r="B915" s="21">
        <v>10.57</v>
      </c>
      <c r="C915" s="238">
        <f t="shared" si="26"/>
        <v>32356</v>
      </c>
    </row>
    <row r="916" spans="1:3" ht="16.2" x14ac:dyDescent="0.35">
      <c r="A916" s="20">
        <v>32374</v>
      </c>
      <c r="B916" s="21">
        <v>10.71</v>
      </c>
      <c r="C916" s="238">
        <f t="shared" si="26"/>
        <v>32356</v>
      </c>
    </row>
    <row r="917" spans="1:3" ht="16.2" x14ac:dyDescent="0.35">
      <c r="A917" s="20">
        <v>32381</v>
      </c>
      <c r="B917" s="21">
        <v>10.67</v>
      </c>
      <c r="C917" s="238">
        <f t="shared" si="26"/>
        <v>32356</v>
      </c>
    </row>
    <row r="918" spans="1:3" ht="16.2" x14ac:dyDescent="0.35">
      <c r="A918" s="20">
        <v>32388</v>
      </c>
      <c r="B918" s="21">
        <v>10.65</v>
      </c>
      <c r="C918" s="238">
        <f t="shared" si="26"/>
        <v>32387</v>
      </c>
    </row>
    <row r="919" spans="1:3" ht="16.2" x14ac:dyDescent="0.35">
      <c r="A919" s="20">
        <v>32395</v>
      </c>
      <c r="B919" s="21">
        <v>10.53</v>
      </c>
      <c r="C919" s="238">
        <f t="shared" si="26"/>
        <v>32387</v>
      </c>
    </row>
    <row r="920" spans="1:3" ht="16.2" x14ac:dyDescent="0.35">
      <c r="A920" s="20">
        <v>32402</v>
      </c>
      <c r="B920" s="21">
        <v>10.4</v>
      </c>
      <c r="C920" s="238">
        <f t="shared" si="26"/>
        <v>32387</v>
      </c>
    </row>
    <row r="921" spans="1:3" ht="16.2" x14ac:dyDescent="0.35">
      <c r="A921" s="20">
        <v>32409</v>
      </c>
      <c r="B921" s="21">
        <v>10.4</v>
      </c>
      <c r="C921" s="238">
        <f t="shared" si="26"/>
        <v>32387</v>
      </c>
    </row>
    <row r="922" spans="1:3" ht="16.2" x14ac:dyDescent="0.35">
      <c r="A922" s="20">
        <v>32416</v>
      </c>
      <c r="B922" s="21">
        <v>10.42</v>
      </c>
      <c r="C922" s="238">
        <f t="shared" si="26"/>
        <v>32387</v>
      </c>
    </row>
    <row r="923" spans="1:3" ht="16.2" x14ac:dyDescent="0.35">
      <c r="A923" s="20">
        <v>32423</v>
      </c>
      <c r="B923" s="21">
        <v>10.38</v>
      </c>
      <c r="C923" s="238">
        <f t="shared" si="26"/>
        <v>32417</v>
      </c>
    </row>
    <row r="924" spans="1:3" ht="16.2" x14ac:dyDescent="0.35">
      <c r="A924" s="20">
        <v>32430</v>
      </c>
      <c r="B924" s="21">
        <v>10.33</v>
      </c>
      <c r="C924" s="238">
        <f t="shared" si="26"/>
        <v>32417</v>
      </c>
    </row>
    <row r="925" spans="1:3" ht="16.2" x14ac:dyDescent="0.35">
      <c r="A925" s="20">
        <v>32437</v>
      </c>
      <c r="B925" s="21">
        <v>10.28</v>
      </c>
      <c r="C925" s="238">
        <f t="shared" si="26"/>
        <v>32417</v>
      </c>
    </row>
    <row r="926" spans="1:3" ht="16.2" x14ac:dyDescent="0.35">
      <c r="A926" s="20">
        <v>32444</v>
      </c>
      <c r="B926" s="21">
        <v>10.220000000000001</v>
      </c>
      <c r="C926" s="238">
        <f t="shared" si="26"/>
        <v>32417</v>
      </c>
    </row>
    <row r="927" spans="1:3" ht="16.2" x14ac:dyDescent="0.35">
      <c r="A927" s="20">
        <v>32451</v>
      </c>
      <c r="B927" s="21">
        <v>10.119999999999999</v>
      </c>
      <c r="C927" s="238">
        <f t="shared" si="26"/>
        <v>32448</v>
      </c>
    </row>
    <row r="928" spans="1:3" ht="16.2" x14ac:dyDescent="0.35">
      <c r="A928" s="20">
        <v>32458</v>
      </c>
      <c r="B928" s="21">
        <v>10.24</v>
      </c>
      <c r="C928" s="238">
        <f t="shared" si="26"/>
        <v>32448</v>
      </c>
    </row>
    <row r="929" spans="1:3" ht="16.2" x14ac:dyDescent="0.35">
      <c r="A929" s="20">
        <v>32465</v>
      </c>
      <c r="B929" s="21">
        <v>10.31</v>
      </c>
      <c r="C929" s="238">
        <f t="shared" si="26"/>
        <v>32448</v>
      </c>
    </row>
    <row r="930" spans="1:3" ht="16.2" x14ac:dyDescent="0.35">
      <c r="A930" s="20">
        <v>32472</v>
      </c>
      <c r="B930" s="21">
        <v>10.39</v>
      </c>
      <c r="C930" s="238">
        <f t="shared" si="26"/>
        <v>32448</v>
      </c>
    </row>
    <row r="931" spans="1:3" ht="16.2" x14ac:dyDescent="0.35">
      <c r="A931" s="20">
        <v>32479</v>
      </c>
      <c r="B931" s="21">
        <v>10.44</v>
      </c>
      <c r="C931" s="238">
        <f t="shared" si="26"/>
        <v>32478</v>
      </c>
    </row>
    <row r="932" spans="1:3" ht="16.2" x14ac:dyDescent="0.35">
      <c r="A932" s="20">
        <v>32486</v>
      </c>
      <c r="B932" s="21">
        <v>10.46</v>
      </c>
      <c r="C932" s="238">
        <f t="shared" si="26"/>
        <v>32478</v>
      </c>
    </row>
    <row r="933" spans="1:3" ht="16.2" x14ac:dyDescent="0.35">
      <c r="A933" s="20">
        <v>32493</v>
      </c>
      <c r="B933" s="21">
        <v>10.71</v>
      </c>
      <c r="C933" s="238">
        <f t="shared" si="26"/>
        <v>32478</v>
      </c>
    </row>
    <row r="934" spans="1:3" ht="16.2" x14ac:dyDescent="0.35">
      <c r="A934" s="20">
        <v>32500</v>
      </c>
      <c r="B934" s="21">
        <v>10.68</v>
      </c>
      <c r="C934" s="238">
        <f t="shared" si="26"/>
        <v>32478</v>
      </c>
    </row>
    <row r="935" spans="1:3" ht="16.2" x14ac:dyDescent="0.35">
      <c r="A935" s="20">
        <v>32507</v>
      </c>
      <c r="B935" s="21">
        <v>10.77</v>
      </c>
      <c r="C935" s="238">
        <f t="shared" si="26"/>
        <v>32478</v>
      </c>
    </row>
    <row r="936" spans="1:3" ht="16.2" x14ac:dyDescent="0.35">
      <c r="A936" s="20">
        <v>32514</v>
      </c>
      <c r="B936" s="21">
        <v>10.8</v>
      </c>
      <c r="C936" s="238">
        <f t="shared" si="26"/>
        <v>32509</v>
      </c>
    </row>
    <row r="937" spans="1:3" ht="16.2" x14ac:dyDescent="0.35">
      <c r="A937" s="20">
        <v>32521</v>
      </c>
      <c r="B937" s="21">
        <v>10.81</v>
      </c>
      <c r="C937" s="238">
        <f t="shared" si="26"/>
        <v>32509</v>
      </c>
    </row>
    <row r="938" spans="1:3" ht="16.2" x14ac:dyDescent="0.35">
      <c r="A938" s="20">
        <v>32528</v>
      </c>
      <c r="B938" s="21">
        <v>10.71</v>
      </c>
      <c r="C938" s="238">
        <f t="shared" si="26"/>
        <v>32509</v>
      </c>
    </row>
    <row r="939" spans="1:3" ht="16.2" x14ac:dyDescent="0.35">
      <c r="A939" s="20">
        <v>32535</v>
      </c>
      <c r="B939" s="21">
        <v>10.6</v>
      </c>
      <c r="C939" s="238">
        <f t="shared" si="26"/>
        <v>32509</v>
      </c>
    </row>
    <row r="940" spans="1:3" ht="16.2" x14ac:dyDescent="0.35">
      <c r="A940" s="20">
        <v>32542</v>
      </c>
      <c r="B940" s="21">
        <v>10.55</v>
      </c>
      <c r="C940" s="238">
        <f t="shared" si="26"/>
        <v>32540</v>
      </c>
    </row>
    <row r="941" spans="1:3" ht="16.2" x14ac:dyDescent="0.35">
      <c r="A941" s="20">
        <v>32549</v>
      </c>
      <c r="B941" s="21">
        <v>10.56</v>
      </c>
      <c r="C941" s="238">
        <f t="shared" si="26"/>
        <v>32540</v>
      </c>
    </row>
    <row r="942" spans="1:3" ht="16.2" x14ac:dyDescent="0.35">
      <c r="A942" s="20">
        <v>32556</v>
      </c>
      <c r="B942" s="21">
        <v>10.69</v>
      </c>
      <c r="C942" s="238">
        <f t="shared" si="26"/>
        <v>32540</v>
      </c>
    </row>
    <row r="943" spans="1:3" ht="16.2" x14ac:dyDescent="0.35">
      <c r="A943" s="20">
        <v>32563</v>
      </c>
      <c r="B943" s="21">
        <v>10.78</v>
      </c>
      <c r="C943" s="238">
        <f t="shared" si="26"/>
        <v>32540</v>
      </c>
    </row>
    <row r="944" spans="1:3" ht="16.2" x14ac:dyDescent="0.35">
      <c r="A944" s="20">
        <v>32570</v>
      </c>
      <c r="B944" s="21">
        <v>10.91</v>
      </c>
      <c r="C944" s="238">
        <f t="shared" si="26"/>
        <v>32568</v>
      </c>
    </row>
    <row r="945" spans="1:3" ht="16.2" x14ac:dyDescent="0.35">
      <c r="A945" s="20">
        <v>32577</v>
      </c>
      <c r="B945" s="21">
        <v>10.86</v>
      </c>
      <c r="C945" s="238">
        <f t="shared" si="26"/>
        <v>32568</v>
      </c>
    </row>
    <row r="946" spans="1:3" ht="16.2" x14ac:dyDescent="0.35">
      <c r="A946" s="20">
        <v>32584</v>
      </c>
      <c r="B946" s="21">
        <v>10.98</v>
      </c>
      <c r="C946" s="238">
        <f t="shared" si="26"/>
        <v>32568</v>
      </c>
    </row>
    <row r="947" spans="1:3" ht="16.2" x14ac:dyDescent="0.35">
      <c r="A947" s="20">
        <v>32591</v>
      </c>
      <c r="B947" s="21">
        <v>11.22</v>
      </c>
      <c r="C947" s="238">
        <f t="shared" si="26"/>
        <v>32568</v>
      </c>
    </row>
    <row r="948" spans="1:3" ht="16.2" x14ac:dyDescent="0.35">
      <c r="A948" s="20">
        <v>32598</v>
      </c>
      <c r="B948" s="21">
        <v>11.19</v>
      </c>
      <c r="C948" s="238">
        <f t="shared" si="26"/>
        <v>32568</v>
      </c>
    </row>
    <row r="949" spans="1:3" ht="16.2" x14ac:dyDescent="0.35">
      <c r="A949" s="20">
        <v>32605</v>
      </c>
      <c r="B949" s="21">
        <v>11.07</v>
      </c>
      <c r="C949" s="238">
        <f t="shared" si="26"/>
        <v>32599</v>
      </c>
    </row>
    <row r="950" spans="1:3" ht="16.2" x14ac:dyDescent="0.35">
      <c r="A950" s="20">
        <v>32612</v>
      </c>
      <c r="B950" s="21">
        <v>11.11</v>
      </c>
      <c r="C950" s="238">
        <f t="shared" si="26"/>
        <v>32599</v>
      </c>
    </row>
    <row r="951" spans="1:3" ht="16.2" x14ac:dyDescent="0.35">
      <c r="A951" s="20">
        <v>32619</v>
      </c>
      <c r="B951" s="21">
        <v>10.99</v>
      </c>
      <c r="C951" s="238">
        <f t="shared" si="26"/>
        <v>32599</v>
      </c>
    </row>
    <row r="952" spans="1:3" ht="16.2" x14ac:dyDescent="0.35">
      <c r="A952" s="20">
        <v>32626</v>
      </c>
      <c r="B952" s="21">
        <v>11.03</v>
      </c>
      <c r="C952" s="238">
        <f t="shared" si="26"/>
        <v>32599</v>
      </c>
    </row>
    <row r="953" spans="1:3" ht="16.2" x14ac:dyDescent="0.35">
      <c r="A953" s="20">
        <v>32633</v>
      </c>
      <c r="B953" s="21">
        <v>10.97</v>
      </c>
      <c r="C953" s="238">
        <f t="shared" si="26"/>
        <v>32629</v>
      </c>
    </row>
    <row r="954" spans="1:3" ht="16.2" x14ac:dyDescent="0.35">
      <c r="A954" s="20">
        <v>32640</v>
      </c>
      <c r="B954" s="21">
        <v>10.93</v>
      </c>
      <c r="C954" s="238">
        <f t="shared" si="26"/>
        <v>32629</v>
      </c>
    </row>
    <row r="955" spans="1:3" ht="16.2" x14ac:dyDescent="0.35">
      <c r="A955" s="20">
        <v>32647</v>
      </c>
      <c r="B955" s="21">
        <v>10.69</v>
      </c>
      <c r="C955" s="238">
        <f t="shared" si="26"/>
        <v>32629</v>
      </c>
    </row>
    <row r="956" spans="1:3" ht="16.2" x14ac:dyDescent="0.35">
      <c r="A956" s="20">
        <v>32654</v>
      </c>
      <c r="B956" s="21">
        <v>10.5</v>
      </c>
      <c r="C956" s="238">
        <f t="shared" si="26"/>
        <v>32629</v>
      </c>
    </row>
    <row r="957" spans="1:3" ht="16.2" x14ac:dyDescent="0.35">
      <c r="A957" s="20">
        <v>32661</v>
      </c>
      <c r="B957" s="21">
        <v>10.48</v>
      </c>
      <c r="C957" s="238">
        <f t="shared" si="26"/>
        <v>32660</v>
      </c>
    </row>
    <row r="958" spans="1:3" ht="16.2" x14ac:dyDescent="0.35">
      <c r="A958" s="20">
        <v>32668</v>
      </c>
      <c r="B958" s="21">
        <v>10.199999999999999</v>
      </c>
      <c r="C958" s="238">
        <f t="shared" si="26"/>
        <v>32660</v>
      </c>
    </row>
    <row r="959" spans="1:3" ht="16.2" x14ac:dyDescent="0.35">
      <c r="A959" s="20">
        <v>32675</v>
      </c>
      <c r="B959" s="21">
        <v>10.039999999999999</v>
      </c>
      <c r="C959" s="238">
        <f t="shared" si="26"/>
        <v>32660</v>
      </c>
    </row>
    <row r="960" spans="1:3" ht="16.2" x14ac:dyDescent="0.35">
      <c r="A960" s="20">
        <v>32682</v>
      </c>
      <c r="B960" s="21">
        <v>10.19</v>
      </c>
      <c r="C960" s="238">
        <f t="shared" si="26"/>
        <v>32660</v>
      </c>
    </row>
    <row r="961" spans="1:3" ht="16.2" x14ac:dyDescent="0.35">
      <c r="A961" s="20">
        <v>32689</v>
      </c>
      <c r="B961" s="21">
        <v>10.07</v>
      </c>
      <c r="C961" s="238">
        <f t="shared" si="26"/>
        <v>32660</v>
      </c>
    </row>
    <row r="962" spans="1:3" ht="16.2" x14ac:dyDescent="0.35">
      <c r="A962" s="20">
        <v>32696</v>
      </c>
      <c r="B962" s="21">
        <v>10.029999999999999</v>
      </c>
      <c r="C962" s="238">
        <f t="shared" si="26"/>
        <v>32690</v>
      </c>
    </row>
    <row r="963" spans="1:3" ht="16.2" x14ac:dyDescent="0.35">
      <c r="A963" s="20">
        <v>32703</v>
      </c>
      <c r="B963" s="21">
        <v>9.82</v>
      </c>
      <c r="C963" s="238">
        <f t="shared" si="26"/>
        <v>32690</v>
      </c>
    </row>
    <row r="964" spans="1:3" ht="16.2" x14ac:dyDescent="0.35">
      <c r="A964" s="20">
        <v>32710</v>
      </c>
      <c r="B964" s="21">
        <v>9.8699999999999992</v>
      </c>
      <c r="C964" s="238">
        <f t="shared" si="26"/>
        <v>32690</v>
      </c>
    </row>
    <row r="965" spans="1:3" ht="16.2" x14ac:dyDescent="0.35">
      <c r="A965" s="20">
        <v>32717</v>
      </c>
      <c r="B965" s="21">
        <v>9.81</v>
      </c>
      <c r="C965" s="238">
        <f t="shared" si="26"/>
        <v>32690</v>
      </c>
    </row>
    <row r="966" spans="1:3" ht="16.2" x14ac:dyDescent="0.35">
      <c r="A966" s="20">
        <v>32724</v>
      </c>
      <c r="B966" s="21">
        <v>9.68</v>
      </c>
      <c r="C966" s="238">
        <f t="shared" si="26"/>
        <v>32721</v>
      </c>
    </row>
    <row r="967" spans="1:3" ht="16.2" x14ac:dyDescent="0.35">
      <c r="A967" s="20">
        <v>32731</v>
      </c>
      <c r="B967" s="21">
        <v>9.9600000000000009</v>
      </c>
      <c r="C967" s="238">
        <f t="shared" si="26"/>
        <v>32721</v>
      </c>
    </row>
    <row r="968" spans="1:3" ht="16.2" x14ac:dyDescent="0.35">
      <c r="A968" s="20">
        <v>32738</v>
      </c>
      <c r="B968" s="21">
        <v>10.09</v>
      </c>
      <c r="C968" s="238">
        <f t="shared" si="26"/>
        <v>32721</v>
      </c>
    </row>
    <row r="969" spans="1:3" ht="16.2" x14ac:dyDescent="0.35">
      <c r="A969" s="20">
        <v>32745</v>
      </c>
      <c r="B969" s="21">
        <v>10.210000000000001</v>
      </c>
      <c r="C969" s="238">
        <f t="shared" si="26"/>
        <v>32721</v>
      </c>
    </row>
    <row r="970" spans="1:3" ht="16.2" x14ac:dyDescent="0.35">
      <c r="A970" s="20">
        <v>32752</v>
      </c>
      <c r="B970" s="21">
        <v>10.220000000000001</v>
      </c>
      <c r="C970" s="238">
        <f t="shared" si="26"/>
        <v>32752</v>
      </c>
    </row>
    <row r="971" spans="1:3" ht="16.2" x14ac:dyDescent="0.35">
      <c r="A971" s="20">
        <v>32759</v>
      </c>
      <c r="B971" s="21">
        <v>10.17</v>
      </c>
      <c r="C971" s="238">
        <f t="shared" si="26"/>
        <v>32752</v>
      </c>
    </row>
    <row r="972" spans="1:3" ht="16.2" x14ac:dyDescent="0.35">
      <c r="A972" s="20">
        <v>32766</v>
      </c>
      <c r="B972" s="21">
        <v>10.050000000000001</v>
      </c>
      <c r="C972" s="238">
        <f t="shared" si="26"/>
        <v>32752</v>
      </c>
    </row>
    <row r="973" spans="1:3" ht="16.2" x14ac:dyDescent="0.35">
      <c r="A973" s="20">
        <v>32773</v>
      </c>
      <c r="B973" s="21">
        <v>10.029999999999999</v>
      </c>
      <c r="C973" s="238">
        <f t="shared" si="26"/>
        <v>32752</v>
      </c>
    </row>
    <row r="974" spans="1:3" ht="16.2" x14ac:dyDescent="0.35">
      <c r="A974" s="20">
        <v>32780</v>
      </c>
      <c r="B974" s="21">
        <v>10.16</v>
      </c>
      <c r="C974" s="238">
        <f t="shared" si="26"/>
        <v>32752</v>
      </c>
    </row>
    <row r="975" spans="1:3" ht="16.2" x14ac:dyDescent="0.35">
      <c r="A975" s="20">
        <v>32787</v>
      </c>
      <c r="B975" s="21">
        <v>10.1</v>
      </c>
      <c r="C975" s="238">
        <f t="shared" si="26"/>
        <v>32782</v>
      </c>
    </row>
    <row r="976" spans="1:3" ht="16.2" x14ac:dyDescent="0.35">
      <c r="A976" s="20">
        <v>32794</v>
      </c>
      <c r="B976" s="21">
        <v>9.9499999999999993</v>
      </c>
      <c r="C976" s="238">
        <f t="shared" ref="C976:C1039" si="27">EOMONTH(A976,-1)+1</f>
        <v>32782</v>
      </c>
    </row>
    <row r="977" spans="1:3" ht="16.2" x14ac:dyDescent="0.35">
      <c r="A977" s="20">
        <v>32801</v>
      </c>
      <c r="B977" s="21">
        <v>9.92</v>
      </c>
      <c r="C977" s="238">
        <f t="shared" si="27"/>
        <v>32782</v>
      </c>
    </row>
    <row r="978" spans="1:3" ht="16.2" x14ac:dyDescent="0.35">
      <c r="A978" s="20">
        <v>32808</v>
      </c>
      <c r="B978" s="21">
        <v>9.82</v>
      </c>
      <c r="C978" s="238">
        <f t="shared" si="27"/>
        <v>32782</v>
      </c>
    </row>
    <row r="979" spans="1:3" ht="16.2" x14ac:dyDescent="0.35">
      <c r="A979" s="20">
        <v>32815</v>
      </c>
      <c r="B979" s="21">
        <v>9.82</v>
      </c>
      <c r="C979" s="238">
        <f t="shared" si="27"/>
        <v>32813</v>
      </c>
    </row>
    <row r="980" spans="1:3" ht="16.2" x14ac:dyDescent="0.35">
      <c r="A980" s="20">
        <v>32822</v>
      </c>
      <c r="B980" s="21">
        <v>9.7899999999999991</v>
      </c>
      <c r="C980" s="238">
        <f t="shared" si="27"/>
        <v>32813</v>
      </c>
    </row>
    <row r="981" spans="1:3" ht="16.2" x14ac:dyDescent="0.35">
      <c r="A981" s="20">
        <v>32829</v>
      </c>
      <c r="B981" s="21">
        <v>9.7200000000000006</v>
      </c>
      <c r="C981" s="238">
        <f t="shared" si="27"/>
        <v>32813</v>
      </c>
    </row>
    <row r="982" spans="1:3" ht="16.2" x14ac:dyDescent="0.35">
      <c r="A982" s="20">
        <v>32836</v>
      </c>
      <c r="B982" s="21">
        <v>9.74</v>
      </c>
      <c r="C982" s="238">
        <f t="shared" si="27"/>
        <v>32813</v>
      </c>
    </row>
    <row r="983" spans="1:3" ht="16.2" x14ac:dyDescent="0.35">
      <c r="A983" s="20">
        <v>32843</v>
      </c>
      <c r="B983" s="21">
        <v>9.74</v>
      </c>
      <c r="C983" s="238">
        <f t="shared" si="27"/>
        <v>32843</v>
      </c>
    </row>
    <row r="984" spans="1:3" ht="16.2" x14ac:dyDescent="0.35">
      <c r="A984" s="20">
        <v>32850</v>
      </c>
      <c r="B984" s="21">
        <v>9.76</v>
      </c>
      <c r="C984" s="238">
        <f t="shared" si="27"/>
        <v>32843</v>
      </c>
    </row>
    <row r="985" spans="1:3" ht="16.2" x14ac:dyDescent="0.35">
      <c r="A985" s="20">
        <v>32857</v>
      </c>
      <c r="B985" s="21">
        <v>9.75</v>
      </c>
      <c r="C985" s="238">
        <f t="shared" si="27"/>
        <v>32843</v>
      </c>
    </row>
    <row r="986" spans="1:3" ht="16.2" x14ac:dyDescent="0.35">
      <c r="A986" s="20">
        <v>32864</v>
      </c>
      <c r="B986" s="21">
        <v>9.69</v>
      </c>
      <c r="C986" s="238">
        <f t="shared" si="27"/>
        <v>32843</v>
      </c>
    </row>
    <row r="987" spans="1:3" ht="16.2" x14ac:dyDescent="0.35">
      <c r="A987" s="20">
        <v>32871</v>
      </c>
      <c r="B987" s="21">
        <v>9.7799999999999994</v>
      </c>
      <c r="C987" s="238">
        <f t="shared" si="27"/>
        <v>32843</v>
      </c>
    </row>
    <row r="988" spans="1:3" ht="16.2" x14ac:dyDescent="0.35">
      <c r="A988" s="20">
        <v>32878</v>
      </c>
      <c r="B988" s="21">
        <v>9.83</v>
      </c>
      <c r="C988" s="238">
        <f t="shared" si="27"/>
        <v>32874</v>
      </c>
    </row>
    <row r="989" spans="1:3" ht="16.2" x14ac:dyDescent="0.35">
      <c r="A989" s="20">
        <v>32885</v>
      </c>
      <c r="B989" s="21">
        <v>9.8000000000000007</v>
      </c>
      <c r="C989" s="238">
        <f t="shared" si="27"/>
        <v>32874</v>
      </c>
    </row>
    <row r="990" spans="1:3" ht="16.2" x14ac:dyDescent="0.35">
      <c r="A990" s="20">
        <v>32892</v>
      </c>
      <c r="B990" s="21">
        <v>9.9</v>
      </c>
      <c r="C990" s="238">
        <f t="shared" si="27"/>
        <v>32874</v>
      </c>
    </row>
    <row r="991" spans="1:3" ht="16.2" x14ac:dyDescent="0.35">
      <c r="A991" s="20">
        <v>32899</v>
      </c>
      <c r="B991" s="21">
        <v>10.050000000000001</v>
      </c>
      <c r="C991" s="238">
        <f t="shared" si="27"/>
        <v>32874</v>
      </c>
    </row>
    <row r="992" spans="1:3" ht="16.2" x14ac:dyDescent="0.35">
      <c r="A992" s="20">
        <v>32906</v>
      </c>
      <c r="B992" s="21">
        <v>10.17</v>
      </c>
      <c r="C992" s="238">
        <f t="shared" si="27"/>
        <v>32905</v>
      </c>
    </row>
    <row r="993" spans="1:3" ht="16.2" x14ac:dyDescent="0.35">
      <c r="A993" s="20">
        <v>32913</v>
      </c>
      <c r="B993" s="21">
        <v>10.210000000000001</v>
      </c>
      <c r="C993" s="238">
        <f t="shared" si="27"/>
        <v>32905</v>
      </c>
    </row>
    <row r="994" spans="1:3" ht="16.2" x14ac:dyDescent="0.35">
      <c r="A994" s="20">
        <v>32920</v>
      </c>
      <c r="B994" s="21">
        <v>10.1</v>
      </c>
      <c r="C994" s="238">
        <f t="shared" si="27"/>
        <v>32905</v>
      </c>
    </row>
    <row r="995" spans="1:3" ht="16.2" x14ac:dyDescent="0.35">
      <c r="A995" s="20">
        <v>32927</v>
      </c>
      <c r="B995" s="21">
        <v>10.31</v>
      </c>
      <c r="C995" s="238">
        <f t="shared" si="27"/>
        <v>32905</v>
      </c>
    </row>
    <row r="996" spans="1:3" ht="16.2" x14ac:dyDescent="0.35">
      <c r="A996" s="20">
        <v>32934</v>
      </c>
      <c r="B996" s="21">
        <v>10.23</v>
      </c>
      <c r="C996" s="238">
        <f t="shared" si="27"/>
        <v>32933</v>
      </c>
    </row>
    <row r="997" spans="1:3" ht="16.2" x14ac:dyDescent="0.35">
      <c r="A997" s="20">
        <v>32941</v>
      </c>
      <c r="B997" s="21">
        <v>10.29</v>
      </c>
      <c r="C997" s="238">
        <f t="shared" si="27"/>
        <v>32933</v>
      </c>
    </row>
    <row r="998" spans="1:3" ht="16.2" x14ac:dyDescent="0.35">
      <c r="A998" s="20">
        <v>32948</v>
      </c>
      <c r="B998" s="21">
        <v>10.34</v>
      </c>
      <c r="C998" s="238">
        <f t="shared" si="27"/>
        <v>32933</v>
      </c>
    </row>
    <row r="999" spans="1:3" ht="16.2" x14ac:dyDescent="0.35">
      <c r="A999" s="20">
        <v>32955</v>
      </c>
      <c r="B999" s="21">
        <v>10.26</v>
      </c>
      <c r="C999" s="238">
        <f t="shared" si="27"/>
        <v>32933</v>
      </c>
    </row>
    <row r="1000" spans="1:3" ht="16.2" x14ac:dyDescent="0.35">
      <c r="A1000" s="20">
        <v>32962</v>
      </c>
      <c r="B1000" s="21">
        <v>10.220000000000001</v>
      </c>
      <c r="C1000" s="238">
        <f t="shared" si="27"/>
        <v>32933</v>
      </c>
    </row>
    <row r="1001" spans="1:3" ht="16.2" x14ac:dyDescent="0.35">
      <c r="A1001" s="20">
        <v>32969</v>
      </c>
      <c r="B1001" s="21">
        <v>10.26</v>
      </c>
      <c r="C1001" s="238">
        <f t="shared" si="27"/>
        <v>32964</v>
      </c>
    </row>
    <row r="1002" spans="1:3" ht="16.2" x14ac:dyDescent="0.35">
      <c r="A1002" s="20">
        <v>32976</v>
      </c>
      <c r="B1002" s="21">
        <v>10.25</v>
      </c>
      <c r="C1002" s="238">
        <f t="shared" si="27"/>
        <v>32964</v>
      </c>
    </row>
    <row r="1003" spans="1:3" ht="16.2" x14ac:dyDescent="0.35">
      <c r="A1003" s="20">
        <v>32983</v>
      </c>
      <c r="B1003" s="21">
        <v>10.41</v>
      </c>
      <c r="C1003" s="238">
        <f t="shared" si="27"/>
        <v>32964</v>
      </c>
    </row>
    <row r="1004" spans="1:3" ht="16.2" x14ac:dyDescent="0.35">
      <c r="A1004" s="20">
        <v>32990</v>
      </c>
      <c r="B1004" s="21">
        <v>10.56</v>
      </c>
      <c r="C1004" s="238">
        <f t="shared" si="27"/>
        <v>32964</v>
      </c>
    </row>
    <row r="1005" spans="1:3" ht="16.2" x14ac:dyDescent="0.35">
      <c r="A1005" s="20">
        <v>32997</v>
      </c>
      <c r="B1005" s="21">
        <v>10.67</v>
      </c>
      <c r="C1005" s="238">
        <f t="shared" si="27"/>
        <v>32994</v>
      </c>
    </row>
    <row r="1006" spans="1:3" ht="16.2" x14ac:dyDescent="0.35">
      <c r="A1006" s="20">
        <v>33004</v>
      </c>
      <c r="B1006" s="21">
        <v>10.54</v>
      </c>
      <c r="C1006" s="238">
        <f t="shared" si="27"/>
        <v>32994</v>
      </c>
    </row>
    <row r="1007" spans="1:3" ht="16.2" x14ac:dyDescent="0.35">
      <c r="A1007" s="20">
        <v>33011</v>
      </c>
      <c r="B1007" s="21">
        <v>10.37</v>
      </c>
      <c r="C1007" s="238">
        <f t="shared" si="27"/>
        <v>32994</v>
      </c>
    </row>
    <row r="1008" spans="1:3" ht="16.2" x14ac:dyDescent="0.35">
      <c r="A1008" s="20">
        <v>33018</v>
      </c>
      <c r="B1008" s="21">
        <v>10.33</v>
      </c>
      <c r="C1008" s="238">
        <f t="shared" si="27"/>
        <v>32994</v>
      </c>
    </row>
    <row r="1009" spans="1:3" ht="16.2" x14ac:dyDescent="0.35">
      <c r="A1009" s="20">
        <v>33025</v>
      </c>
      <c r="B1009" s="21">
        <v>10.29</v>
      </c>
      <c r="C1009" s="238">
        <f t="shared" si="27"/>
        <v>33025</v>
      </c>
    </row>
    <row r="1010" spans="1:3" ht="16.2" x14ac:dyDescent="0.35">
      <c r="A1010" s="20">
        <v>33032</v>
      </c>
      <c r="B1010" s="21">
        <v>10.1</v>
      </c>
      <c r="C1010" s="238">
        <f t="shared" si="27"/>
        <v>33025</v>
      </c>
    </row>
    <row r="1011" spans="1:3" ht="16.2" x14ac:dyDescent="0.35">
      <c r="A1011" s="20">
        <v>33039</v>
      </c>
      <c r="B1011" s="21">
        <v>10.119999999999999</v>
      </c>
      <c r="C1011" s="238">
        <f t="shared" si="27"/>
        <v>33025</v>
      </c>
    </row>
    <row r="1012" spans="1:3" ht="16.2" x14ac:dyDescent="0.35">
      <c r="A1012" s="20">
        <v>33046</v>
      </c>
      <c r="B1012" s="21">
        <v>10.16</v>
      </c>
      <c r="C1012" s="238">
        <f t="shared" si="27"/>
        <v>33025</v>
      </c>
    </row>
    <row r="1013" spans="1:3" ht="16.2" x14ac:dyDescent="0.35">
      <c r="A1013" s="20">
        <v>33053</v>
      </c>
      <c r="B1013" s="21">
        <v>10.15</v>
      </c>
      <c r="C1013" s="238">
        <f t="shared" si="27"/>
        <v>33025</v>
      </c>
    </row>
    <row r="1014" spans="1:3" ht="16.2" x14ac:dyDescent="0.35">
      <c r="A1014" s="20">
        <v>33060</v>
      </c>
      <c r="B1014" s="21">
        <v>10.06</v>
      </c>
      <c r="C1014" s="238">
        <f t="shared" si="27"/>
        <v>33055</v>
      </c>
    </row>
    <row r="1015" spans="1:3" ht="16.2" x14ac:dyDescent="0.35">
      <c r="A1015" s="20">
        <v>33067</v>
      </c>
      <c r="B1015" s="21">
        <v>10.11</v>
      </c>
      <c r="C1015" s="238">
        <f t="shared" si="27"/>
        <v>33055</v>
      </c>
    </row>
    <row r="1016" spans="1:3" ht="16.2" x14ac:dyDescent="0.35">
      <c r="A1016" s="20">
        <v>33074</v>
      </c>
      <c r="B1016" s="21">
        <v>9.99</v>
      </c>
      <c r="C1016" s="238">
        <f t="shared" si="27"/>
        <v>33055</v>
      </c>
    </row>
    <row r="1017" spans="1:3" ht="16.2" x14ac:dyDescent="0.35">
      <c r="A1017" s="20">
        <v>33081</v>
      </c>
      <c r="B1017" s="21">
        <v>9.98</v>
      </c>
      <c r="C1017" s="238">
        <f t="shared" si="27"/>
        <v>33055</v>
      </c>
    </row>
    <row r="1018" spans="1:3" ht="16.2" x14ac:dyDescent="0.35">
      <c r="A1018" s="20">
        <v>33088</v>
      </c>
      <c r="B1018" s="21">
        <v>9.84</v>
      </c>
      <c r="C1018" s="238">
        <f t="shared" si="27"/>
        <v>33086</v>
      </c>
    </row>
    <row r="1019" spans="1:3" ht="16.2" x14ac:dyDescent="0.35">
      <c r="A1019" s="20">
        <v>33095</v>
      </c>
      <c r="B1019" s="21">
        <v>10.08</v>
      </c>
      <c r="C1019" s="238">
        <f t="shared" si="27"/>
        <v>33086</v>
      </c>
    </row>
    <row r="1020" spans="1:3" ht="16.2" x14ac:dyDescent="0.35">
      <c r="A1020" s="20">
        <v>33102</v>
      </c>
      <c r="B1020" s="21">
        <v>10.050000000000001</v>
      </c>
      <c r="C1020" s="238">
        <f t="shared" si="27"/>
        <v>33086</v>
      </c>
    </row>
    <row r="1021" spans="1:3" ht="16.2" x14ac:dyDescent="0.35">
      <c r="A1021" s="20">
        <v>33109</v>
      </c>
      <c r="B1021" s="21">
        <v>10.29</v>
      </c>
      <c r="C1021" s="238">
        <f t="shared" si="27"/>
        <v>33086</v>
      </c>
    </row>
    <row r="1022" spans="1:3" ht="16.2" x14ac:dyDescent="0.35">
      <c r="A1022" s="20">
        <v>33116</v>
      </c>
      <c r="B1022" s="21">
        <v>10.24</v>
      </c>
      <c r="C1022" s="238">
        <f t="shared" si="27"/>
        <v>33086</v>
      </c>
    </row>
    <row r="1023" spans="1:3" ht="16.2" x14ac:dyDescent="0.35">
      <c r="A1023" s="20">
        <v>33123</v>
      </c>
      <c r="B1023" s="21">
        <v>10.19</v>
      </c>
      <c r="C1023" s="238">
        <f t="shared" si="27"/>
        <v>33117</v>
      </c>
    </row>
    <row r="1024" spans="1:3" ht="16.2" x14ac:dyDescent="0.35">
      <c r="A1024" s="20">
        <v>33130</v>
      </c>
      <c r="B1024" s="21">
        <v>10.130000000000001</v>
      </c>
      <c r="C1024" s="238">
        <f t="shared" si="27"/>
        <v>33117</v>
      </c>
    </row>
    <row r="1025" spans="1:3" ht="16.2" x14ac:dyDescent="0.35">
      <c r="A1025" s="20">
        <v>33137</v>
      </c>
      <c r="B1025" s="21">
        <v>10.16</v>
      </c>
      <c r="C1025" s="238">
        <f t="shared" si="27"/>
        <v>33117</v>
      </c>
    </row>
    <row r="1026" spans="1:3" ht="16.2" x14ac:dyDescent="0.35">
      <c r="A1026" s="20">
        <v>33144</v>
      </c>
      <c r="B1026" s="21">
        <v>10.220000000000001</v>
      </c>
      <c r="C1026" s="238">
        <f t="shared" si="27"/>
        <v>33117</v>
      </c>
    </row>
    <row r="1027" spans="1:3" ht="16.2" x14ac:dyDescent="0.35">
      <c r="A1027" s="20">
        <v>33151</v>
      </c>
      <c r="B1027" s="21">
        <v>10.08</v>
      </c>
      <c r="C1027" s="238">
        <f t="shared" si="27"/>
        <v>33147</v>
      </c>
    </row>
    <row r="1028" spans="1:3" ht="16.2" x14ac:dyDescent="0.35">
      <c r="A1028" s="20">
        <v>33158</v>
      </c>
      <c r="B1028" s="21">
        <v>10.220000000000001</v>
      </c>
      <c r="C1028" s="238">
        <f t="shared" si="27"/>
        <v>33147</v>
      </c>
    </row>
    <row r="1029" spans="1:3" ht="16.2" x14ac:dyDescent="0.35">
      <c r="A1029" s="20">
        <v>33165</v>
      </c>
      <c r="B1029" s="21">
        <v>10.24</v>
      </c>
      <c r="C1029" s="238">
        <f t="shared" si="27"/>
        <v>33147</v>
      </c>
    </row>
    <row r="1030" spans="1:3" ht="16.2" x14ac:dyDescent="0.35">
      <c r="A1030" s="20">
        <v>33172</v>
      </c>
      <c r="B1030" s="21">
        <v>10.17</v>
      </c>
      <c r="C1030" s="238">
        <f t="shared" si="27"/>
        <v>33147</v>
      </c>
    </row>
    <row r="1031" spans="1:3" ht="16.2" x14ac:dyDescent="0.35">
      <c r="A1031" s="20">
        <v>33179</v>
      </c>
      <c r="B1031" s="21">
        <v>10.130000000000001</v>
      </c>
      <c r="C1031" s="238">
        <f t="shared" si="27"/>
        <v>33178</v>
      </c>
    </row>
    <row r="1032" spans="1:3" ht="16.2" x14ac:dyDescent="0.35">
      <c r="A1032" s="20">
        <v>33186</v>
      </c>
      <c r="B1032" s="21">
        <v>10.09</v>
      </c>
      <c r="C1032" s="238">
        <f t="shared" si="27"/>
        <v>33178</v>
      </c>
    </row>
    <row r="1033" spans="1:3" ht="16.2" x14ac:dyDescent="0.35">
      <c r="A1033" s="20">
        <v>33193</v>
      </c>
      <c r="B1033" s="21">
        <v>10.02</v>
      </c>
      <c r="C1033" s="238">
        <f t="shared" si="27"/>
        <v>33178</v>
      </c>
    </row>
    <row r="1034" spans="1:3" ht="16.2" x14ac:dyDescent="0.35">
      <c r="A1034" s="20">
        <v>33200</v>
      </c>
      <c r="B1034" s="21">
        <v>9.93</v>
      </c>
      <c r="C1034" s="238">
        <f t="shared" si="27"/>
        <v>33178</v>
      </c>
    </row>
    <row r="1035" spans="1:3" ht="16.2" x14ac:dyDescent="0.35">
      <c r="A1035" s="20">
        <v>33207</v>
      </c>
      <c r="B1035" s="21">
        <v>9.9</v>
      </c>
      <c r="C1035" s="238">
        <f t="shared" si="27"/>
        <v>33178</v>
      </c>
    </row>
    <row r="1036" spans="1:3" ht="16.2" x14ac:dyDescent="0.35">
      <c r="A1036" s="20">
        <v>33214</v>
      </c>
      <c r="B1036" s="21">
        <v>9.81</v>
      </c>
      <c r="C1036" s="238">
        <f t="shared" si="27"/>
        <v>33208</v>
      </c>
    </row>
    <row r="1037" spans="1:3" ht="16.2" x14ac:dyDescent="0.35">
      <c r="A1037" s="20">
        <v>33221</v>
      </c>
      <c r="B1037" s="21">
        <v>9.56</v>
      </c>
      <c r="C1037" s="238">
        <f t="shared" si="27"/>
        <v>33208</v>
      </c>
    </row>
    <row r="1038" spans="1:3" ht="16.2" x14ac:dyDescent="0.35">
      <c r="A1038" s="20">
        <v>33228</v>
      </c>
      <c r="B1038" s="21">
        <v>9.64</v>
      </c>
      <c r="C1038" s="238">
        <f t="shared" si="27"/>
        <v>33208</v>
      </c>
    </row>
    <row r="1039" spans="1:3" ht="16.2" x14ac:dyDescent="0.35">
      <c r="A1039" s="20">
        <v>33235</v>
      </c>
      <c r="B1039" s="21">
        <v>9.68</v>
      </c>
      <c r="C1039" s="238">
        <f t="shared" si="27"/>
        <v>33208</v>
      </c>
    </row>
    <row r="1040" spans="1:3" ht="16.2" x14ac:dyDescent="0.35">
      <c r="A1040" s="20">
        <v>33242</v>
      </c>
      <c r="B1040" s="21">
        <v>9.56</v>
      </c>
      <c r="C1040" s="238">
        <f t="shared" ref="C1040:C1103" si="28">EOMONTH(A1040,-1)+1</f>
        <v>33239</v>
      </c>
    </row>
    <row r="1041" spans="1:3" ht="16.2" x14ac:dyDescent="0.35">
      <c r="A1041" s="20">
        <v>33249</v>
      </c>
      <c r="B1041" s="21">
        <v>9.6300000000000008</v>
      </c>
      <c r="C1041" s="238">
        <f t="shared" si="28"/>
        <v>33239</v>
      </c>
    </row>
    <row r="1042" spans="1:3" ht="16.2" x14ac:dyDescent="0.35">
      <c r="A1042" s="20">
        <v>33256</v>
      </c>
      <c r="B1042" s="21">
        <v>9.75</v>
      </c>
      <c r="C1042" s="238">
        <f t="shared" si="28"/>
        <v>33239</v>
      </c>
    </row>
    <row r="1043" spans="1:3" ht="16.2" x14ac:dyDescent="0.35">
      <c r="A1043" s="20">
        <v>33263</v>
      </c>
      <c r="B1043" s="21">
        <v>9.61</v>
      </c>
      <c r="C1043" s="238">
        <f t="shared" si="28"/>
        <v>33239</v>
      </c>
    </row>
    <row r="1044" spans="1:3" ht="16.2" x14ac:dyDescent="0.35">
      <c r="A1044" s="20">
        <v>33270</v>
      </c>
      <c r="B1044" s="21">
        <v>9.56</v>
      </c>
      <c r="C1044" s="238">
        <f t="shared" si="28"/>
        <v>33270</v>
      </c>
    </row>
    <row r="1045" spans="1:3" ht="16.2" x14ac:dyDescent="0.35">
      <c r="A1045" s="20">
        <v>33277</v>
      </c>
      <c r="B1045" s="21">
        <v>9.36</v>
      </c>
      <c r="C1045" s="238">
        <f t="shared" si="28"/>
        <v>33270</v>
      </c>
    </row>
    <row r="1046" spans="1:3" ht="16.2" x14ac:dyDescent="0.35">
      <c r="A1046" s="20">
        <v>33284</v>
      </c>
      <c r="B1046" s="21">
        <v>9.25</v>
      </c>
      <c r="C1046" s="238">
        <f t="shared" si="28"/>
        <v>33270</v>
      </c>
    </row>
    <row r="1047" spans="1:3" ht="16.2" x14ac:dyDescent="0.35">
      <c r="A1047" s="20">
        <v>33291</v>
      </c>
      <c r="B1047" s="21">
        <v>9.2899999999999991</v>
      </c>
      <c r="C1047" s="238">
        <f t="shared" si="28"/>
        <v>33270</v>
      </c>
    </row>
    <row r="1048" spans="1:3" ht="16.2" x14ac:dyDescent="0.35">
      <c r="A1048" s="20">
        <v>33298</v>
      </c>
      <c r="B1048" s="21">
        <v>9.4</v>
      </c>
      <c r="C1048" s="238">
        <f t="shared" si="28"/>
        <v>33298</v>
      </c>
    </row>
    <row r="1049" spans="1:3" ht="16.2" x14ac:dyDescent="0.35">
      <c r="A1049" s="20">
        <v>33305</v>
      </c>
      <c r="B1049" s="21">
        <v>9.49</v>
      </c>
      <c r="C1049" s="238">
        <f t="shared" si="28"/>
        <v>33298</v>
      </c>
    </row>
    <row r="1050" spans="1:3" ht="16.2" x14ac:dyDescent="0.35">
      <c r="A1050" s="20">
        <v>33312</v>
      </c>
      <c r="B1050" s="21">
        <v>9.5</v>
      </c>
      <c r="C1050" s="238">
        <f t="shared" si="28"/>
        <v>33298</v>
      </c>
    </row>
    <row r="1051" spans="1:3" ht="16.2" x14ac:dyDescent="0.35">
      <c r="A1051" s="20">
        <v>33319</v>
      </c>
      <c r="B1051" s="21">
        <v>9.59</v>
      </c>
      <c r="C1051" s="238">
        <f t="shared" si="28"/>
        <v>33298</v>
      </c>
    </row>
    <row r="1052" spans="1:3" ht="16.2" x14ac:dyDescent="0.35">
      <c r="A1052" s="20">
        <v>33326</v>
      </c>
      <c r="B1052" s="21">
        <v>9.52</v>
      </c>
      <c r="C1052" s="238">
        <f t="shared" si="28"/>
        <v>33298</v>
      </c>
    </row>
    <row r="1053" spans="1:3" ht="16.2" x14ac:dyDescent="0.35">
      <c r="A1053" s="20">
        <v>33333</v>
      </c>
      <c r="B1053" s="21">
        <v>9.49</v>
      </c>
      <c r="C1053" s="238">
        <f t="shared" si="28"/>
        <v>33329</v>
      </c>
    </row>
    <row r="1054" spans="1:3" ht="16.2" x14ac:dyDescent="0.35">
      <c r="A1054" s="20">
        <v>33340</v>
      </c>
      <c r="B1054" s="21">
        <v>9.48</v>
      </c>
      <c r="C1054" s="238">
        <f t="shared" si="28"/>
        <v>33329</v>
      </c>
    </row>
    <row r="1055" spans="1:3" ht="16.2" x14ac:dyDescent="0.35">
      <c r="A1055" s="20">
        <v>33347</v>
      </c>
      <c r="B1055" s="21">
        <v>9.4700000000000006</v>
      </c>
      <c r="C1055" s="238">
        <f t="shared" si="28"/>
        <v>33329</v>
      </c>
    </row>
    <row r="1056" spans="1:3" ht="16.2" x14ac:dyDescent="0.35">
      <c r="A1056" s="20">
        <v>33354</v>
      </c>
      <c r="B1056" s="21">
        <v>9.5299999999999994</v>
      </c>
      <c r="C1056" s="238">
        <f t="shared" si="28"/>
        <v>33329</v>
      </c>
    </row>
    <row r="1057" spans="1:3" ht="16.2" x14ac:dyDescent="0.35">
      <c r="A1057" s="20">
        <v>33361</v>
      </c>
      <c r="B1057" s="21">
        <v>9.4700000000000006</v>
      </c>
      <c r="C1057" s="238">
        <f t="shared" si="28"/>
        <v>33359</v>
      </c>
    </row>
    <row r="1058" spans="1:3" ht="16.2" x14ac:dyDescent="0.35">
      <c r="A1058" s="20">
        <v>33368</v>
      </c>
      <c r="B1058" s="21">
        <v>9.4700000000000006</v>
      </c>
      <c r="C1058" s="238">
        <f t="shared" si="28"/>
        <v>33359</v>
      </c>
    </row>
    <row r="1059" spans="1:3" ht="16.2" x14ac:dyDescent="0.35">
      <c r="A1059" s="20">
        <v>33375</v>
      </c>
      <c r="B1059" s="21">
        <v>9.5</v>
      </c>
      <c r="C1059" s="238">
        <f t="shared" si="28"/>
        <v>33359</v>
      </c>
    </row>
    <row r="1060" spans="1:3" ht="16.2" x14ac:dyDescent="0.35">
      <c r="A1060" s="20">
        <v>33382</v>
      </c>
      <c r="B1060" s="21">
        <v>9.4700000000000006</v>
      </c>
      <c r="C1060" s="238">
        <f t="shared" si="28"/>
        <v>33359</v>
      </c>
    </row>
    <row r="1061" spans="1:3" ht="16.2" x14ac:dyDescent="0.35">
      <c r="A1061" s="20">
        <v>33389</v>
      </c>
      <c r="B1061" s="21">
        <v>9.4499999999999993</v>
      </c>
      <c r="C1061" s="238">
        <f t="shared" si="28"/>
        <v>33359</v>
      </c>
    </row>
    <row r="1062" spans="1:3" ht="16.2" x14ac:dyDescent="0.35">
      <c r="A1062" s="20">
        <v>33396</v>
      </c>
      <c r="B1062" s="21">
        <v>9.48</v>
      </c>
      <c r="C1062" s="238">
        <f t="shared" si="28"/>
        <v>33390</v>
      </c>
    </row>
    <row r="1063" spans="1:3" ht="16.2" x14ac:dyDescent="0.35">
      <c r="A1063" s="20">
        <v>33403</v>
      </c>
      <c r="B1063" s="21">
        <v>9.66</v>
      </c>
      <c r="C1063" s="238">
        <f t="shared" si="28"/>
        <v>33390</v>
      </c>
    </row>
    <row r="1064" spans="1:3" ht="16.2" x14ac:dyDescent="0.35">
      <c r="A1064" s="20">
        <v>33410</v>
      </c>
      <c r="B1064" s="21">
        <v>9.65</v>
      </c>
      <c r="C1064" s="238">
        <f t="shared" si="28"/>
        <v>33390</v>
      </c>
    </row>
    <row r="1065" spans="1:3" ht="16.2" x14ac:dyDescent="0.35">
      <c r="A1065" s="20">
        <v>33417</v>
      </c>
      <c r="B1065" s="21">
        <v>9.67</v>
      </c>
      <c r="C1065" s="238">
        <f t="shared" si="28"/>
        <v>33390</v>
      </c>
    </row>
    <row r="1066" spans="1:3" ht="16.2" x14ac:dyDescent="0.35">
      <c r="A1066" s="20">
        <v>33424</v>
      </c>
      <c r="B1066" s="21">
        <v>9.6199999999999992</v>
      </c>
      <c r="C1066" s="238">
        <f t="shared" si="28"/>
        <v>33420</v>
      </c>
    </row>
    <row r="1067" spans="1:3" ht="16.2" x14ac:dyDescent="0.35">
      <c r="A1067" s="20">
        <v>33431</v>
      </c>
      <c r="B1067" s="21">
        <v>9.64</v>
      </c>
      <c r="C1067" s="238">
        <f t="shared" si="28"/>
        <v>33420</v>
      </c>
    </row>
    <row r="1068" spans="1:3" ht="16.2" x14ac:dyDescent="0.35">
      <c r="A1068" s="20">
        <v>33438</v>
      </c>
      <c r="B1068" s="21">
        <v>9.5399999999999991</v>
      </c>
      <c r="C1068" s="238">
        <f t="shared" si="28"/>
        <v>33420</v>
      </c>
    </row>
    <row r="1069" spans="1:3" ht="16.2" x14ac:dyDescent="0.35">
      <c r="A1069" s="20">
        <v>33445</v>
      </c>
      <c r="B1069" s="21">
        <v>9.5</v>
      </c>
      <c r="C1069" s="238">
        <f t="shared" si="28"/>
        <v>33420</v>
      </c>
    </row>
    <row r="1070" spans="1:3" ht="16.2" x14ac:dyDescent="0.35">
      <c r="A1070" s="20">
        <v>33452</v>
      </c>
      <c r="B1070" s="21">
        <v>9.44</v>
      </c>
      <c r="C1070" s="238">
        <f t="shared" si="28"/>
        <v>33451</v>
      </c>
    </row>
    <row r="1071" spans="1:3" ht="16.2" x14ac:dyDescent="0.35">
      <c r="A1071" s="20">
        <v>33459</v>
      </c>
      <c r="B1071" s="21">
        <v>9.27</v>
      </c>
      <c r="C1071" s="238">
        <f t="shared" si="28"/>
        <v>33451</v>
      </c>
    </row>
    <row r="1072" spans="1:3" ht="16.2" x14ac:dyDescent="0.35">
      <c r="A1072" s="20">
        <v>33466</v>
      </c>
      <c r="B1072" s="21">
        <v>9.19</v>
      </c>
      <c r="C1072" s="238">
        <f t="shared" si="28"/>
        <v>33451</v>
      </c>
    </row>
    <row r="1073" spans="1:3" ht="16.2" x14ac:dyDescent="0.35">
      <c r="A1073" s="20">
        <v>33473</v>
      </c>
      <c r="B1073" s="21">
        <v>9.17</v>
      </c>
      <c r="C1073" s="238">
        <f t="shared" si="28"/>
        <v>33451</v>
      </c>
    </row>
    <row r="1074" spans="1:3" ht="16.2" x14ac:dyDescent="0.35">
      <c r="A1074" s="20">
        <v>33480</v>
      </c>
      <c r="B1074" s="21">
        <v>9.15</v>
      </c>
      <c r="C1074" s="238">
        <f t="shared" si="28"/>
        <v>33451</v>
      </c>
    </row>
    <row r="1075" spans="1:3" ht="16.2" x14ac:dyDescent="0.35">
      <c r="A1075" s="20">
        <v>33487</v>
      </c>
      <c r="B1075" s="21">
        <v>9.14</v>
      </c>
      <c r="C1075" s="238">
        <f t="shared" si="28"/>
        <v>33482</v>
      </c>
    </row>
    <row r="1076" spans="1:3" ht="16.2" x14ac:dyDescent="0.35">
      <c r="A1076" s="20">
        <v>33494</v>
      </c>
      <c r="B1076" s="21">
        <v>9.02</v>
      </c>
      <c r="C1076" s="238">
        <f t="shared" si="28"/>
        <v>33482</v>
      </c>
    </row>
    <row r="1077" spans="1:3" ht="16.2" x14ac:dyDescent="0.35">
      <c r="A1077" s="20">
        <v>33501</v>
      </c>
      <c r="B1077" s="21">
        <v>8.9499999999999993</v>
      </c>
      <c r="C1077" s="238">
        <f t="shared" si="28"/>
        <v>33482</v>
      </c>
    </row>
    <row r="1078" spans="1:3" ht="16.2" x14ac:dyDescent="0.35">
      <c r="A1078" s="20">
        <v>33508</v>
      </c>
      <c r="B1078" s="21">
        <v>8.92</v>
      </c>
      <c r="C1078" s="238">
        <f t="shared" si="28"/>
        <v>33482</v>
      </c>
    </row>
    <row r="1079" spans="1:3" ht="16.2" x14ac:dyDescent="0.35">
      <c r="A1079" s="20">
        <v>33515</v>
      </c>
      <c r="B1079" s="21">
        <v>8.8699999999999992</v>
      </c>
      <c r="C1079" s="238">
        <f t="shared" si="28"/>
        <v>33512</v>
      </c>
    </row>
    <row r="1080" spans="1:3" ht="16.2" x14ac:dyDescent="0.35">
      <c r="A1080" s="20">
        <v>33522</v>
      </c>
      <c r="B1080" s="21">
        <v>8.82</v>
      </c>
      <c r="C1080" s="238">
        <f t="shared" si="28"/>
        <v>33512</v>
      </c>
    </row>
    <row r="1081" spans="1:3" ht="16.2" x14ac:dyDescent="0.35">
      <c r="A1081" s="20">
        <v>33529</v>
      </c>
      <c r="B1081" s="21">
        <v>8.82</v>
      </c>
      <c r="C1081" s="238">
        <f t="shared" si="28"/>
        <v>33512</v>
      </c>
    </row>
    <row r="1082" spans="1:3" ht="16.2" x14ac:dyDescent="0.35">
      <c r="A1082" s="20">
        <v>33536</v>
      </c>
      <c r="B1082" s="21">
        <v>8.91</v>
      </c>
      <c r="C1082" s="238">
        <f t="shared" si="28"/>
        <v>33512</v>
      </c>
    </row>
    <row r="1083" spans="1:3" ht="16.2" x14ac:dyDescent="0.35">
      <c r="A1083" s="20">
        <v>33543</v>
      </c>
      <c r="B1083" s="21">
        <v>8.7799999999999994</v>
      </c>
      <c r="C1083" s="238">
        <f t="shared" si="28"/>
        <v>33543</v>
      </c>
    </row>
    <row r="1084" spans="1:3" ht="16.2" x14ac:dyDescent="0.35">
      <c r="A1084" s="20">
        <v>33550</v>
      </c>
      <c r="B1084" s="21">
        <v>8.76</v>
      </c>
      <c r="C1084" s="238">
        <f t="shared" si="28"/>
        <v>33543</v>
      </c>
    </row>
    <row r="1085" spans="1:3" ht="16.2" x14ac:dyDescent="0.35">
      <c r="A1085" s="20">
        <v>33557</v>
      </c>
      <c r="B1085" s="21">
        <v>8.69</v>
      </c>
      <c r="C1085" s="238">
        <f t="shared" si="28"/>
        <v>33543</v>
      </c>
    </row>
    <row r="1086" spans="1:3" ht="16.2" x14ac:dyDescent="0.35">
      <c r="A1086" s="20">
        <v>33564</v>
      </c>
      <c r="B1086" s="21">
        <v>8.6300000000000008</v>
      </c>
      <c r="C1086" s="238">
        <f t="shared" si="28"/>
        <v>33543</v>
      </c>
    </row>
    <row r="1087" spans="1:3" ht="16.2" x14ac:dyDescent="0.35">
      <c r="A1087" s="20">
        <v>33571</v>
      </c>
      <c r="B1087" s="21">
        <v>8.6999999999999993</v>
      </c>
      <c r="C1087" s="238">
        <f t="shared" si="28"/>
        <v>33543</v>
      </c>
    </row>
    <row r="1088" spans="1:3" ht="16.2" x14ac:dyDescent="0.35">
      <c r="A1088" s="20">
        <v>33578</v>
      </c>
      <c r="B1088" s="21">
        <v>8.6199999999999992</v>
      </c>
      <c r="C1088" s="238">
        <f t="shared" si="28"/>
        <v>33573</v>
      </c>
    </row>
    <row r="1089" spans="1:3" ht="16.2" x14ac:dyDescent="0.35">
      <c r="A1089" s="20">
        <v>33585</v>
      </c>
      <c r="B1089" s="21">
        <v>8.5299999999999994</v>
      </c>
      <c r="C1089" s="238">
        <f t="shared" si="28"/>
        <v>33573</v>
      </c>
    </row>
    <row r="1090" spans="1:3" ht="16.2" x14ac:dyDescent="0.35">
      <c r="A1090" s="20">
        <v>33592</v>
      </c>
      <c r="B1090" s="21">
        <v>8.49</v>
      </c>
      <c r="C1090" s="238">
        <f t="shared" si="28"/>
        <v>33573</v>
      </c>
    </row>
    <row r="1091" spans="1:3" ht="16.2" x14ac:dyDescent="0.35">
      <c r="A1091" s="20">
        <v>33599</v>
      </c>
      <c r="B1091" s="21">
        <v>8.35</v>
      </c>
      <c r="C1091" s="238">
        <f t="shared" si="28"/>
        <v>33573</v>
      </c>
    </row>
    <row r="1092" spans="1:3" ht="16.2" x14ac:dyDescent="0.35">
      <c r="A1092" s="20">
        <v>33606</v>
      </c>
      <c r="B1092" s="21">
        <v>8.24</v>
      </c>
      <c r="C1092" s="238">
        <f t="shared" si="28"/>
        <v>33604</v>
      </c>
    </row>
    <row r="1093" spans="1:3" ht="16.2" x14ac:dyDescent="0.35">
      <c r="A1093" s="20">
        <v>33613</v>
      </c>
      <c r="B1093" s="21">
        <v>8.23</v>
      </c>
      <c r="C1093" s="238">
        <f t="shared" si="28"/>
        <v>33604</v>
      </c>
    </row>
    <row r="1094" spans="1:3" ht="16.2" x14ac:dyDescent="0.35">
      <c r="A1094" s="20">
        <v>33620</v>
      </c>
      <c r="B1094" s="21">
        <v>8.4499999999999993</v>
      </c>
      <c r="C1094" s="238">
        <f t="shared" si="28"/>
        <v>33604</v>
      </c>
    </row>
    <row r="1095" spans="1:3" ht="16.2" x14ac:dyDescent="0.35">
      <c r="A1095" s="20">
        <v>33627</v>
      </c>
      <c r="B1095" s="21">
        <v>8.56</v>
      </c>
      <c r="C1095" s="238">
        <f t="shared" si="28"/>
        <v>33604</v>
      </c>
    </row>
    <row r="1096" spans="1:3" ht="16.2" x14ac:dyDescent="0.35">
      <c r="A1096" s="20">
        <v>33634</v>
      </c>
      <c r="B1096" s="21">
        <v>8.68</v>
      </c>
      <c r="C1096" s="238">
        <f t="shared" si="28"/>
        <v>33604</v>
      </c>
    </row>
    <row r="1097" spans="1:3" ht="16.2" x14ac:dyDescent="0.35">
      <c r="A1097" s="20">
        <v>33641</v>
      </c>
      <c r="B1097" s="21">
        <v>8.67</v>
      </c>
      <c r="C1097" s="238">
        <f t="shared" si="28"/>
        <v>33635</v>
      </c>
    </row>
    <row r="1098" spans="1:3" ht="16.2" x14ac:dyDescent="0.35">
      <c r="A1098" s="20">
        <v>33648</v>
      </c>
      <c r="B1098" s="21">
        <v>8.73</v>
      </c>
      <c r="C1098" s="238">
        <f t="shared" si="28"/>
        <v>33635</v>
      </c>
    </row>
    <row r="1099" spans="1:3" ht="16.2" x14ac:dyDescent="0.35">
      <c r="A1099" s="20">
        <v>33655</v>
      </c>
      <c r="B1099" s="21">
        <v>8.82</v>
      </c>
      <c r="C1099" s="238">
        <f t="shared" si="28"/>
        <v>33635</v>
      </c>
    </row>
    <row r="1100" spans="1:3" ht="16.2" x14ac:dyDescent="0.35">
      <c r="A1100" s="20">
        <v>33662</v>
      </c>
      <c r="B1100" s="21">
        <v>8.83</v>
      </c>
      <c r="C1100" s="238">
        <f t="shared" si="28"/>
        <v>33635</v>
      </c>
    </row>
    <row r="1101" spans="1:3" ht="16.2" x14ac:dyDescent="0.35">
      <c r="A1101" s="20">
        <v>33669</v>
      </c>
      <c r="B1101" s="21">
        <v>8.85</v>
      </c>
      <c r="C1101" s="238">
        <f t="shared" si="28"/>
        <v>33664</v>
      </c>
    </row>
    <row r="1102" spans="1:3" ht="16.2" x14ac:dyDescent="0.35">
      <c r="A1102" s="20">
        <v>33676</v>
      </c>
      <c r="B1102" s="21">
        <v>8.8800000000000008</v>
      </c>
      <c r="C1102" s="238">
        <f t="shared" si="28"/>
        <v>33664</v>
      </c>
    </row>
    <row r="1103" spans="1:3" ht="16.2" x14ac:dyDescent="0.35">
      <c r="A1103" s="20">
        <v>33683</v>
      </c>
      <c r="B1103" s="21">
        <v>9.0299999999999994</v>
      </c>
      <c r="C1103" s="238">
        <f t="shared" si="28"/>
        <v>33664</v>
      </c>
    </row>
    <row r="1104" spans="1:3" ht="16.2" x14ac:dyDescent="0.35">
      <c r="A1104" s="20">
        <v>33690</v>
      </c>
      <c r="B1104" s="21">
        <v>8.98</v>
      </c>
      <c r="C1104" s="238">
        <f t="shared" ref="C1104:C1167" si="29">EOMONTH(A1104,-1)+1</f>
        <v>33664</v>
      </c>
    </row>
    <row r="1105" spans="1:3" ht="16.2" x14ac:dyDescent="0.35">
      <c r="A1105" s="20">
        <v>33697</v>
      </c>
      <c r="B1105" s="21">
        <v>8.9600000000000009</v>
      </c>
      <c r="C1105" s="238">
        <f t="shared" si="29"/>
        <v>33695</v>
      </c>
    </row>
    <row r="1106" spans="1:3" ht="16.2" x14ac:dyDescent="0.35">
      <c r="A1106" s="20">
        <v>33704</v>
      </c>
      <c r="B1106" s="21">
        <v>8.84</v>
      </c>
      <c r="C1106" s="238">
        <f t="shared" si="29"/>
        <v>33695</v>
      </c>
    </row>
    <row r="1107" spans="1:3" ht="16.2" x14ac:dyDescent="0.35">
      <c r="A1107" s="20">
        <v>33711</v>
      </c>
      <c r="B1107" s="21">
        <v>8.76</v>
      </c>
      <c r="C1107" s="238">
        <f t="shared" si="29"/>
        <v>33695</v>
      </c>
    </row>
    <row r="1108" spans="1:3" ht="16.2" x14ac:dyDescent="0.35">
      <c r="A1108" s="20">
        <v>33718</v>
      </c>
      <c r="B1108" s="21">
        <v>8.85</v>
      </c>
      <c r="C1108" s="238">
        <f t="shared" si="29"/>
        <v>33695</v>
      </c>
    </row>
    <row r="1109" spans="1:3" ht="16.2" x14ac:dyDescent="0.35">
      <c r="A1109" s="20">
        <v>33725</v>
      </c>
      <c r="B1109" s="21">
        <v>8.84</v>
      </c>
      <c r="C1109" s="238">
        <f t="shared" si="29"/>
        <v>33725</v>
      </c>
    </row>
    <row r="1110" spans="1:3" ht="16.2" x14ac:dyDescent="0.35">
      <c r="A1110" s="20">
        <v>33732</v>
      </c>
      <c r="B1110" s="21">
        <v>8.75</v>
      </c>
      <c r="C1110" s="238">
        <f t="shared" si="29"/>
        <v>33725</v>
      </c>
    </row>
    <row r="1111" spans="1:3" ht="16.2" x14ac:dyDescent="0.35">
      <c r="A1111" s="20">
        <v>33739</v>
      </c>
      <c r="B1111" s="21">
        <v>8.64</v>
      </c>
      <c r="C1111" s="238">
        <f t="shared" si="29"/>
        <v>33725</v>
      </c>
    </row>
    <row r="1112" spans="1:3" ht="16.2" x14ac:dyDescent="0.35">
      <c r="A1112" s="20">
        <v>33746</v>
      </c>
      <c r="B1112" s="21">
        <v>8.5299999999999994</v>
      </c>
      <c r="C1112" s="238">
        <f t="shared" si="29"/>
        <v>33725</v>
      </c>
    </row>
    <row r="1113" spans="1:3" ht="16.2" x14ac:dyDescent="0.35">
      <c r="A1113" s="20">
        <v>33753</v>
      </c>
      <c r="B1113" s="21">
        <v>8.6</v>
      </c>
      <c r="C1113" s="238">
        <f t="shared" si="29"/>
        <v>33725</v>
      </c>
    </row>
    <row r="1114" spans="1:3" ht="16.2" x14ac:dyDescent="0.35">
      <c r="A1114" s="20">
        <v>33760</v>
      </c>
      <c r="B1114" s="21">
        <v>8.59</v>
      </c>
      <c r="C1114" s="238">
        <f t="shared" si="29"/>
        <v>33756</v>
      </c>
    </row>
    <row r="1115" spans="1:3" ht="16.2" x14ac:dyDescent="0.35">
      <c r="A1115" s="20">
        <v>33767</v>
      </c>
      <c r="B1115" s="21">
        <v>8.5399999999999991</v>
      </c>
      <c r="C1115" s="238">
        <f t="shared" si="29"/>
        <v>33756</v>
      </c>
    </row>
    <row r="1116" spans="1:3" ht="16.2" x14ac:dyDescent="0.35">
      <c r="A1116" s="20">
        <v>33774</v>
      </c>
      <c r="B1116" s="21">
        <v>8.48</v>
      </c>
      <c r="C1116" s="238">
        <f t="shared" si="29"/>
        <v>33756</v>
      </c>
    </row>
    <row r="1117" spans="1:3" ht="16.2" x14ac:dyDescent="0.35">
      <c r="A1117" s="20">
        <v>33781</v>
      </c>
      <c r="B1117" s="21">
        <v>8.43</v>
      </c>
      <c r="C1117" s="238">
        <f t="shared" si="29"/>
        <v>33756</v>
      </c>
    </row>
    <row r="1118" spans="1:3" ht="16.2" x14ac:dyDescent="0.35">
      <c r="A1118" s="20">
        <v>33788</v>
      </c>
      <c r="B1118" s="21">
        <v>8.2899999999999991</v>
      </c>
      <c r="C1118" s="238">
        <f t="shared" si="29"/>
        <v>33786</v>
      </c>
    </row>
    <row r="1119" spans="1:3" ht="16.2" x14ac:dyDescent="0.35">
      <c r="A1119" s="20">
        <v>33795</v>
      </c>
      <c r="B1119" s="21">
        <v>8.1300000000000008</v>
      </c>
      <c r="C1119" s="238">
        <f t="shared" si="29"/>
        <v>33786</v>
      </c>
    </row>
    <row r="1120" spans="1:3" ht="16.2" x14ac:dyDescent="0.35">
      <c r="A1120" s="20">
        <v>33802</v>
      </c>
      <c r="B1120" s="21">
        <v>8.09</v>
      </c>
      <c r="C1120" s="238">
        <f t="shared" si="29"/>
        <v>33786</v>
      </c>
    </row>
    <row r="1121" spans="1:3" ht="16.2" x14ac:dyDescent="0.35">
      <c r="A1121" s="20">
        <v>33809</v>
      </c>
      <c r="B1121" s="21">
        <v>8.08</v>
      </c>
      <c r="C1121" s="238">
        <f t="shared" si="29"/>
        <v>33786</v>
      </c>
    </row>
    <row r="1122" spans="1:3" ht="16.2" x14ac:dyDescent="0.35">
      <c r="A1122" s="20">
        <v>33816</v>
      </c>
      <c r="B1122" s="21">
        <v>8.0500000000000007</v>
      </c>
      <c r="C1122" s="238">
        <f t="shared" si="29"/>
        <v>33786</v>
      </c>
    </row>
    <row r="1123" spans="1:3" ht="16.2" x14ac:dyDescent="0.35">
      <c r="A1123" s="20">
        <v>33823</v>
      </c>
      <c r="B1123" s="21">
        <v>8.06</v>
      </c>
      <c r="C1123" s="238">
        <f t="shared" si="29"/>
        <v>33817</v>
      </c>
    </row>
    <row r="1124" spans="1:3" ht="16.2" x14ac:dyDescent="0.35">
      <c r="A1124" s="20">
        <v>33830</v>
      </c>
      <c r="B1124" s="21">
        <v>7.96</v>
      </c>
      <c r="C1124" s="238">
        <f t="shared" si="29"/>
        <v>33817</v>
      </c>
    </row>
    <row r="1125" spans="1:3" ht="16.2" x14ac:dyDescent="0.35">
      <c r="A1125" s="20">
        <v>33837</v>
      </c>
      <c r="B1125" s="21">
        <v>7.87</v>
      </c>
      <c r="C1125" s="238">
        <f t="shared" si="29"/>
        <v>33817</v>
      </c>
    </row>
    <row r="1126" spans="1:3" ht="16.2" x14ac:dyDescent="0.35">
      <c r="A1126" s="20">
        <v>33844</v>
      </c>
      <c r="B1126" s="21">
        <v>8.01</v>
      </c>
      <c r="C1126" s="238">
        <f t="shared" si="29"/>
        <v>33817</v>
      </c>
    </row>
    <row r="1127" spans="1:3" ht="16.2" x14ac:dyDescent="0.35">
      <c r="A1127" s="20">
        <v>33851</v>
      </c>
      <c r="B1127" s="21">
        <v>7.94</v>
      </c>
      <c r="C1127" s="238">
        <f t="shared" si="29"/>
        <v>33848</v>
      </c>
    </row>
    <row r="1128" spans="1:3" ht="16.2" x14ac:dyDescent="0.35">
      <c r="A1128" s="20">
        <v>33858</v>
      </c>
      <c r="B1128" s="21">
        <v>7.84</v>
      </c>
      <c r="C1128" s="238">
        <f t="shared" si="29"/>
        <v>33848</v>
      </c>
    </row>
    <row r="1129" spans="1:3" ht="16.2" x14ac:dyDescent="0.35">
      <c r="A1129" s="20">
        <v>33865</v>
      </c>
      <c r="B1129" s="21">
        <v>7.89</v>
      </c>
      <c r="C1129" s="238">
        <f t="shared" si="29"/>
        <v>33848</v>
      </c>
    </row>
    <row r="1130" spans="1:3" ht="16.2" x14ac:dyDescent="0.35">
      <c r="A1130" s="20">
        <v>33871</v>
      </c>
      <c r="B1130" s="21">
        <v>8.02</v>
      </c>
      <c r="C1130" s="238">
        <f t="shared" si="29"/>
        <v>33848</v>
      </c>
    </row>
    <row r="1131" spans="1:3" ht="16.2" x14ac:dyDescent="0.35">
      <c r="A1131" s="20">
        <v>33879</v>
      </c>
      <c r="B1131" s="21">
        <v>7.93</v>
      </c>
      <c r="C1131" s="238">
        <f t="shared" si="29"/>
        <v>33878</v>
      </c>
    </row>
    <row r="1132" spans="1:3" ht="16.2" x14ac:dyDescent="0.35">
      <c r="A1132" s="20">
        <v>33886</v>
      </c>
      <c r="B1132" s="21">
        <v>8.01</v>
      </c>
      <c r="C1132" s="238">
        <f t="shared" si="29"/>
        <v>33878</v>
      </c>
    </row>
    <row r="1133" spans="1:3" ht="16.2" x14ac:dyDescent="0.35">
      <c r="A1133" s="20">
        <v>33893</v>
      </c>
      <c r="B1133" s="21">
        <v>8.06</v>
      </c>
      <c r="C1133" s="238">
        <f t="shared" si="29"/>
        <v>33878</v>
      </c>
    </row>
    <row r="1134" spans="1:3" ht="16.2" x14ac:dyDescent="0.35">
      <c r="A1134" s="20">
        <v>33900</v>
      </c>
      <c r="B1134" s="21">
        <v>8.23</v>
      </c>
      <c r="C1134" s="238">
        <f t="shared" si="29"/>
        <v>33878</v>
      </c>
    </row>
    <row r="1135" spans="1:3" ht="16.2" x14ac:dyDescent="0.35">
      <c r="A1135" s="20">
        <v>33907</v>
      </c>
      <c r="B1135" s="21">
        <v>8.2100000000000009</v>
      </c>
      <c r="C1135" s="238">
        <f t="shared" si="29"/>
        <v>33878</v>
      </c>
    </row>
    <row r="1136" spans="1:3" ht="16.2" x14ac:dyDescent="0.35">
      <c r="A1136" s="20">
        <v>33914</v>
      </c>
      <c r="B1136" s="21">
        <v>8.2899999999999991</v>
      </c>
      <c r="C1136" s="238">
        <f t="shared" si="29"/>
        <v>33909</v>
      </c>
    </row>
    <row r="1137" spans="1:3" ht="16.2" x14ac:dyDescent="0.35">
      <c r="A1137" s="20">
        <v>33921</v>
      </c>
      <c r="B1137" s="21">
        <v>8.32</v>
      </c>
      <c r="C1137" s="238">
        <f t="shared" si="29"/>
        <v>33909</v>
      </c>
    </row>
    <row r="1138" spans="1:3" ht="16.2" x14ac:dyDescent="0.35">
      <c r="A1138" s="20">
        <v>33928</v>
      </c>
      <c r="B1138" s="21">
        <v>8.32</v>
      </c>
      <c r="C1138" s="238">
        <f t="shared" si="29"/>
        <v>33909</v>
      </c>
    </row>
    <row r="1139" spans="1:3" ht="16.2" x14ac:dyDescent="0.35">
      <c r="A1139" s="20">
        <v>33935</v>
      </c>
      <c r="B1139" s="21">
        <v>8.2899999999999991</v>
      </c>
      <c r="C1139" s="238">
        <f t="shared" si="29"/>
        <v>33909</v>
      </c>
    </row>
    <row r="1140" spans="1:3" ht="16.2" x14ac:dyDescent="0.35">
      <c r="A1140" s="20">
        <v>33942</v>
      </c>
      <c r="B1140" s="21">
        <v>8.34</v>
      </c>
      <c r="C1140" s="238">
        <f t="shared" si="29"/>
        <v>33939</v>
      </c>
    </row>
    <row r="1141" spans="1:3" ht="16.2" x14ac:dyDescent="0.35">
      <c r="A1141" s="20">
        <v>33949</v>
      </c>
      <c r="B1141" s="21">
        <v>8.23</v>
      </c>
      <c r="C1141" s="238">
        <f t="shared" si="29"/>
        <v>33939</v>
      </c>
    </row>
    <row r="1142" spans="1:3" ht="16.2" x14ac:dyDescent="0.35">
      <c r="A1142" s="20">
        <v>33956</v>
      </c>
      <c r="B1142" s="21">
        <v>8.19</v>
      </c>
      <c r="C1142" s="238">
        <f t="shared" si="29"/>
        <v>33939</v>
      </c>
    </row>
    <row r="1143" spans="1:3" ht="16.2" x14ac:dyDescent="0.35">
      <c r="A1143" s="20">
        <v>33963</v>
      </c>
      <c r="B1143" s="21">
        <v>8.1300000000000008</v>
      </c>
      <c r="C1143" s="238">
        <f t="shared" si="29"/>
        <v>33939</v>
      </c>
    </row>
    <row r="1144" spans="1:3" ht="16.2" x14ac:dyDescent="0.35">
      <c r="A1144" s="20">
        <v>33969</v>
      </c>
      <c r="B1144" s="21">
        <v>8.14</v>
      </c>
      <c r="C1144" s="238">
        <f t="shared" si="29"/>
        <v>33939</v>
      </c>
    </row>
    <row r="1145" spans="1:3" ht="16.2" x14ac:dyDescent="0.35">
      <c r="A1145" s="20">
        <v>33977</v>
      </c>
      <c r="B1145" s="21">
        <v>8.07</v>
      </c>
      <c r="C1145" s="238">
        <f t="shared" si="29"/>
        <v>33970</v>
      </c>
    </row>
    <row r="1146" spans="1:3" ht="16.2" x14ac:dyDescent="0.35">
      <c r="A1146" s="20">
        <v>33984</v>
      </c>
      <c r="B1146" s="21">
        <v>8.0399999999999991</v>
      </c>
      <c r="C1146" s="238">
        <f t="shared" si="29"/>
        <v>33970</v>
      </c>
    </row>
    <row r="1147" spans="1:3" ht="16.2" x14ac:dyDescent="0.35">
      <c r="A1147" s="20">
        <v>33991</v>
      </c>
      <c r="B1147" s="21">
        <v>8</v>
      </c>
      <c r="C1147" s="238">
        <f t="shared" si="29"/>
        <v>33970</v>
      </c>
    </row>
    <row r="1148" spans="1:3" ht="16.2" x14ac:dyDescent="0.35">
      <c r="A1148" s="20">
        <v>33998</v>
      </c>
      <c r="B1148" s="21">
        <v>7.86</v>
      </c>
      <c r="C1148" s="238">
        <f t="shared" si="29"/>
        <v>33970</v>
      </c>
    </row>
    <row r="1149" spans="1:3" ht="16.2" x14ac:dyDescent="0.35">
      <c r="A1149" s="20">
        <v>34005</v>
      </c>
      <c r="B1149" s="21">
        <v>7.8</v>
      </c>
      <c r="C1149" s="238">
        <f t="shared" si="29"/>
        <v>34001</v>
      </c>
    </row>
    <row r="1150" spans="1:3" ht="16.2" x14ac:dyDescent="0.35">
      <c r="A1150" s="20">
        <v>34012</v>
      </c>
      <c r="B1150" s="21">
        <v>7.75</v>
      </c>
      <c r="C1150" s="238">
        <f t="shared" si="29"/>
        <v>34001</v>
      </c>
    </row>
    <row r="1151" spans="1:3" ht="16.2" x14ac:dyDescent="0.35">
      <c r="A1151" s="20">
        <v>34019</v>
      </c>
      <c r="B1151" s="21">
        <v>7.65</v>
      </c>
      <c r="C1151" s="238">
        <f t="shared" si="29"/>
        <v>34001</v>
      </c>
    </row>
    <row r="1152" spans="1:3" ht="16.2" x14ac:dyDescent="0.35">
      <c r="A1152" s="20">
        <v>34026</v>
      </c>
      <c r="B1152" s="21">
        <v>7.53</v>
      </c>
      <c r="C1152" s="238">
        <f t="shared" si="29"/>
        <v>34001</v>
      </c>
    </row>
    <row r="1153" spans="1:3" ht="16.2" x14ac:dyDescent="0.35">
      <c r="A1153" s="20">
        <v>34033</v>
      </c>
      <c r="B1153" s="21">
        <v>7.44</v>
      </c>
      <c r="C1153" s="238">
        <f t="shared" si="29"/>
        <v>34029</v>
      </c>
    </row>
    <row r="1154" spans="1:3" ht="16.2" x14ac:dyDescent="0.35">
      <c r="A1154" s="20">
        <v>34040</v>
      </c>
      <c r="B1154" s="21">
        <v>7.47</v>
      </c>
      <c r="C1154" s="238">
        <f t="shared" si="29"/>
        <v>34029</v>
      </c>
    </row>
    <row r="1155" spans="1:3" ht="16.2" x14ac:dyDescent="0.35">
      <c r="A1155" s="20">
        <v>34047</v>
      </c>
      <c r="B1155" s="21">
        <v>7.57</v>
      </c>
      <c r="C1155" s="238">
        <f t="shared" si="29"/>
        <v>34029</v>
      </c>
    </row>
    <row r="1156" spans="1:3" ht="16.2" x14ac:dyDescent="0.35">
      <c r="A1156" s="20">
        <v>34054</v>
      </c>
      <c r="B1156" s="21">
        <v>7.5</v>
      </c>
      <c r="C1156" s="238">
        <f t="shared" si="29"/>
        <v>34029</v>
      </c>
    </row>
    <row r="1157" spans="1:3" ht="16.2" x14ac:dyDescent="0.35">
      <c r="A1157" s="20">
        <v>34061</v>
      </c>
      <c r="B1157" s="21">
        <v>7.53</v>
      </c>
      <c r="C1157" s="238">
        <f t="shared" si="29"/>
        <v>34060</v>
      </c>
    </row>
    <row r="1158" spans="1:3" ht="16.2" x14ac:dyDescent="0.35">
      <c r="A1158" s="20">
        <v>34068</v>
      </c>
      <c r="B1158" s="21">
        <v>7.57</v>
      </c>
      <c r="C1158" s="238">
        <f t="shared" si="29"/>
        <v>34060</v>
      </c>
    </row>
    <row r="1159" spans="1:3" ht="16.2" x14ac:dyDescent="0.35">
      <c r="A1159" s="20">
        <v>34075</v>
      </c>
      <c r="B1159" s="21">
        <v>7.45</v>
      </c>
      <c r="C1159" s="238">
        <f t="shared" si="29"/>
        <v>34060</v>
      </c>
    </row>
    <row r="1160" spans="1:3" ht="16.2" x14ac:dyDescent="0.35">
      <c r="A1160" s="20">
        <v>34082</v>
      </c>
      <c r="B1160" s="21">
        <v>7.38</v>
      </c>
      <c r="C1160" s="238">
        <f t="shared" si="29"/>
        <v>34060</v>
      </c>
    </row>
    <row r="1161" spans="1:3" ht="16.2" x14ac:dyDescent="0.35">
      <c r="A1161" s="20">
        <v>34089</v>
      </c>
      <c r="B1161" s="21">
        <v>7.43</v>
      </c>
      <c r="C1161" s="238">
        <f t="shared" si="29"/>
        <v>34060</v>
      </c>
    </row>
    <row r="1162" spans="1:3" ht="16.2" x14ac:dyDescent="0.35">
      <c r="A1162" s="20">
        <v>34096</v>
      </c>
      <c r="B1162" s="21">
        <v>7.42</v>
      </c>
      <c r="C1162" s="238">
        <f t="shared" si="29"/>
        <v>34090</v>
      </c>
    </row>
    <row r="1163" spans="1:3" ht="16.2" x14ac:dyDescent="0.35">
      <c r="A1163" s="20">
        <v>34103</v>
      </c>
      <c r="B1163" s="21">
        <v>7.42</v>
      </c>
      <c r="C1163" s="238">
        <f t="shared" si="29"/>
        <v>34090</v>
      </c>
    </row>
    <row r="1164" spans="1:3" ht="16.2" x14ac:dyDescent="0.35">
      <c r="A1164" s="20">
        <v>34110</v>
      </c>
      <c r="B1164" s="21">
        <v>7.52</v>
      </c>
      <c r="C1164" s="238">
        <f t="shared" si="29"/>
        <v>34090</v>
      </c>
    </row>
    <row r="1165" spans="1:3" ht="16.2" x14ac:dyDescent="0.35">
      <c r="A1165" s="20">
        <v>34117</v>
      </c>
      <c r="B1165" s="21">
        <v>7.5</v>
      </c>
      <c r="C1165" s="238">
        <f t="shared" si="29"/>
        <v>34090</v>
      </c>
    </row>
    <row r="1166" spans="1:3" ht="16.2" x14ac:dyDescent="0.35">
      <c r="A1166" s="20">
        <v>34124</v>
      </c>
      <c r="B1166" s="21">
        <v>7.47</v>
      </c>
      <c r="C1166" s="238">
        <f t="shared" si="29"/>
        <v>34121</v>
      </c>
    </row>
    <row r="1167" spans="1:3" ht="16.2" x14ac:dyDescent="0.35">
      <c r="A1167" s="20">
        <v>34131</v>
      </c>
      <c r="B1167" s="21">
        <v>7.48</v>
      </c>
      <c r="C1167" s="238">
        <f t="shared" si="29"/>
        <v>34121</v>
      </c>
    </row>
    <row r="1168" spans="1:3" ht="16.2" x14ac:dyDescent="0.35">
      <c r="A1168" s="20">
        <v>34138</v>
      </c>
      <c r="B1168" s="21">
        <v>7.38</v>
      </c>
      <c r="C1168" s="238">
        <f t="shared" ref="C1168:C1231" si="30">EOMONTH(A1168,-1)+1</f>
        <v>34121</v>
      </c>
    </row>
    <row r="1169" spans="1:3" ht="16.2" x14ac:dyDescent="0.35">
      <c r="A1169" s="20">
        <v>34145</v>
      </c>
      <c r="B1169" s="21">
        <v>7.34</v>
      </c>
      <c r="C1169" s="238">
        <f t="shared" si="30"/>
        <v>34121</v>
      </c>
    </row>
    <row r="1170" spans="1:3" ht="16.2" x14ac:dyDescent="0.35">
      <c r="A1170" s="20">
        <v>34152</v>
      </c>
      <c r="B1170" s="21">
        <v>7.23</v>
      </c>
      <c r="C1170" s="238">
        <f t="shared" si="30"/>
        <v>34151</v>
      </c>
    </row>
    <row r="1171" spans="1:3" ht="16.2" x14ac:dyDescent="0.35">
      <c r="A1171" s="20">
        <v>34159</v>
      </c>
      <c r="B1171" s="21">
        <v>7.19</v>
      </c>
      <c r="C1171" s="238">
        <f t="shared" si="30"/>
        <v>34151</v>
      </c>
    </row>
    <row r="1172" spans="1:3" ht="16.2" x14ac:dyDescent="0.35">
      <c r="A1172" s="20">
        <v>34166</v>
      </c>
      <c r="B1172" s="21">
        <v>7.16</v>
      </c>
      <c r="C1172" s="238">
        <f t="shared" si="30"/>
        <v>34151</v>
      </c>
    </row>
    <row r="1173" spans="1:3" ht="16.2" x14ac:dyDescent="0.35">
      <c r="A1173" s="20">
        <v>34173</v>
      </c>
      <c r="B1173" s="21">
        <v>7.2</v>
      </c>
      <c r="C1173" s="238">
        <f t="shared" si="30"/>
        <v>34151</v>
      </c>
    </row>
    <row r="1174" spans="1:3" ht="16.2" x14ac:dyDescent="0.35">
      <c r="A1174" s="20">
        <v>34180</v>
      </c>
      <c r="B1174" s="21">
        <v>7.25</v>
      </c>
      <c r="C1174" s="238">
        <f t="shared" si="30"/>
        <v>34151</v>
      </c>
    </row>
    <row r="1175" spans="1:3" ht="16.2" x14ac:dyDescent="0.35">
      <c r="A1175" s="20">
        <v>34187</v>
      </c>
      <c r="B1175" s="21">
        <v>7.21</v>
      </c>
      <c r="C1175" s="238">
        <f t="shared" si="30"/>
        <v>34182</v>
      </c>
    </row>
    <row r="1176" spans="1:3" ht="16.2" x14ac:dyDescent="0.35">
      <c r="A1176" s="20">
        <v>34194</v>
      </c>
      <c r="B1176" s="21">
        <v>7.17</v>
      </c>
      <c r="C1176" s="238">
        <f t="shared" si="30"/>
        <v>34182</v>
      </c>
    </row>
    <row r="1177" spans="1:3" ht="16.2" x14ac:dyDescent="0.35">
      <c r="A1177" s="20">
        <v>34201</v>
      </c>
      <c r="B1177" s="21">
        <v>7.1</v>
      </c>
      <c r="C1177" s="238">
        <f t="shared" si="30"/>
        <v>34182</v>
      </c>
    </row>
    <row r="1178" spans="1:3" ht="16.2" x14ac:dyDescent="0.35">
      <c r="A1178" s="20">
        <v>34208</v>
      </c>
      <c r="B1178" s="21">
        <v>6.97</v>
      </c>
      <c r="C1178" s="238">
        <f t="shared" si="30"/>
        <v>34182</v>
      </c>
    </row>
    <row r="1179" spans="1:3" ht="16.2" x14ac:dyDescent="0.35">
      <c r="A1179" s="20">
        <v>34215</v>
      </c>
      <c r="B1179" s="21">
        <v>6.93</v>
      </c>
      <c r="C1179" s="238">
        <f t="shared" si="30"/>
        <v>34213</v>
      </c>
    </row>
    <row r="1180" spans="1:3" ht="16.2" x14ac:dyDescent="0.35">
      <c r="A1180" s="20">
        <v>34222</v>
      </c>
      <c r="B1180" s="21">
        <v>6.82</v>
      </c>
      <c r="C1180" s="238">
        <f t="shared" si="30"/>
        <v>34213</v>
      </c>
    </row>
    <row r="1181" spans="1:3" ht="16.2" x14ac:dyDescent="0.35">
      <c r="A1181" s="20">
        <v>34229</v>
      </c>
      <c r="B1181" s="21">
        <v>6.96</v>
      </c>
      <c r="C1181" s="238">
        <f t="shared" si="30"/>
        <v>34213</v>
      </c>
    </row>
    <row r="1182" spans="1:3" ht="16.2" x14ac:dyDescent="0.35">
      <c r="A1182" s="20">
        <v>34236</v>
      </c>
      <c r="B1182" s="21">
        <v>6.95</v>
      </c>
      <c r="C1182" s="238">
        <f t="shared" si="30"/>
        <v>34213</v>
      </c>
    </row>
    <row r="1183" spans="1:3" ht="16.2" x14ac:dyDescent="0.35">
      <c r="A1183" s="20">
        <v>34243</v>
      </c>
      <c r="B1183" s="21">
        <v>6.89</v>
      </c>
      <c r="C1183" s="238">
        <f t="shared" si="30"/>
        <v>34243</v>
      </c>
    </row>
    <row r="1184" spans="1:3" ht="16.2" x14ac:dyDescent="0.35">
      <c r="A1184" s="20">
        <v>34250</v>
      </c>
      <c r="B1184" s="21">
        <v>6.87</v>
      </c>
      <c r="C1184" s="238">
        <f t="shared" si="30"/>
        <v>34243</v>
      </c>
    </row>
    <row r="1185" spans="1:3" ht="16.2" x14ac:dyDescent="0.35">
      <c r="A1185" s="20">
        <v>34257</v>
      </c>
      <c r="B1185" s="21">
        <v>6.81</v>
      </c>
      <c r="C1185" s="238">
        <f t="shared" si="30"/>
        <v>34243</v>
      </c>
    </row>
    <row r="1186" spans="1:3" ht="16.2" x14ac:dyDescent="0.35">
      <c r="A1186" s="20">
        <v>34264</v>
      </c>
      <c r="B1186" s="21">
        <v>6.74</v>
      </c>
      <c r="C1186" s="238">
        <f t="shared" si="30"/>
        <v>34243</v>
      </c>
    </row>
    <row r="1187" spans="1:3" ht="16.2" x14ac:dyDescent="0.35">
      <c r="A1187" s="20">
        <v>34271</v>
      </c>
      <c r="B1187" s="21">
        <v>6.86</v>
      </c>
      <c r="C1187" s="238">
        <f t="shared" si="30"/>
        <v>34243</v>
      </c>
    </row>
    <row r="1188" spans="1:3" ht="16.2" x14ac:dyDescent="0.35">
      <c r="A1188" s="20">
        <v>34278</v>
      </c>
      <c r="B1188" s="21">
        <v>7.11</v>
      </c>
      <c r="C1188" s="238">
        <f t="shared" si="30"/>
        <v>34274</v>
      </c>
    </row>
    <row r="1189" spans="1:3" ht="16.2" x14ac:dyDescent="0.35">
      <c r="A1189" s="20">
        <v>34285</v>
      </c>
      <c r="B1189" s="21">
        <v>7.12</v>
      </c>
      <c r="C1189" s="238">
        <f t="shared" si="30"/>
        <v>34274</v>
      </c>
    </row>
    <row r="1190" spans="1:3" ht="16.2" x14ac:dyDescent="0.35">
      <c r="A1190" s="20">
        <v>34292</v>
      </c>
      <c r="B1190" s="21">
        <v>7.08</v>
      </c>
      <c r="C1190" s="238">
        <f t="shared" si="30"/>
        <v>34274</v>
      </c>
    </row>
    <row r="1191" spans="1:3" ht="16.2" x14ac:dyDescent="0.35">
      <c r="A1191" s="20">
        <v>34299</v>
      </c>
      <c r="B1191" s="21">
        <v>7.31</v>
      </c>
      <c r="C1191" s="238">
        <f t="shared" si="30"/>
        <v>34274</v>
      </c>
    </row>
    <row r="1192" spans="1:3" ht="16.2" x14ac:dyDescent="0.35">
      <c r="A1192" s="20">
        <v>34307</v>
      </c>
      <c r="B1192" s="21">
        <v>7.25</v>
      </c>
      <c r="C1192" s="238">
        <f t="shared" si="30"/>
        <v>34304</v>
      </c>
    </row>
    <row r="1193" spans="1:3" ht="16.2" x14ac:dyDescent="0.35">
      <c r="A1193" s="20">
        <v>34313</v>
      </c>
      <c r="B1193" s="21">
        <v>7.14</v>
      </c>
      <c r="C1193" s="238">
        <f t="shared" si="30"/>
        <v>34304</v>
      </c>
    </row>
    <row r="1194" spans="1:3" ht="16.2" x14ac:dyDescent="0.35">
      <c r="A1194" s="20">
        <v>34320</v>
      </c>
      <c r="B1194" s="21">
        <v>7.17</v>
      </c>
      <c r="C1194" s="238">
        <f t="shared" si="30"/>
        <v>34304</v>
      </c>
    </row>
    <row r="1195" spans="1:3" ht="16.2" x14ac:dyDescent="0.35">
      <c r="A1195" s="20">
        <v>34327</v>
      </c>
      <c r="B1195" s="21">
        <v>7.17</v>
      </c>
      <c r="C1195" s="238">
        <f t="shared" si="30"/>
        <v>34304</v>
      </c>
    </row>
    <row r="1196" spans="1:3" ht="16.2" x14ac:dyDescent="0.35">
      <c r="A1196" s="20">
        <v>34334</v>
      </c>
      <c r="B1196" s="21">
        <v>7.13</v>
      </c>
      <c r="C1196" s="238">
        <f t="shared" si="30"/>
        <v>34304</v>
      </c>
    </row>
    <row r="1197" spans="1:3" ht="16.2" x14ac:dyDescent="0.35">
      <c r="A1197" s="20">
        <v>34341</v>
      </c>
      <c r="B1197" s="21">
        <v>7.23</v>
      </c>
      <c r="C1197" s="238">
        <f t="shared" si="30"/>
        <v>34335</v>
      </c>
    </row>
    <row r="1198" spans="1:3" ht="16.2" x14ac:dyDescent="0.35">
      <c r="A1198" s="20">
        <v>34348</v>
      </c>
      <c r="B1198" s="21">
        <v>6.99</v>
      </c>
      <c r="C1198" s="238">
        <f t="shared" si="30"/>
        <v>34335</v>
      </c>
    </row>
    <row r="1199" spans="1:3" ht="16.2" x14ac:dyDescent="0.35">
      <c r="A1199" s="20">
        <v>34355</v>
      </c>
      <c r="B1199" s="21">
        <v>7.05</v>
      </c>
      <c r="C1199" s="238">
        <f t="shared" si="30"/>
        <v>34335</v>
      </c>
    </row>
    <row r="1200" spans="1:3" ht="16.2" x14ac:dyDescent="0.35">
      <c r="A1200" s="20">
        <v>34362</v>
      </c>
      <c r="B1200" s="21">
        <v>6.97</v>
      </c>
      <c r="C1200" s="238">
        <f t="shared" si="30"/>
        <v>34335</v>
      </c>
    </row>
    <row r="1201" spans="1:3" ht="16.2" x14ac:dyDescent="0.35">
      <c r="A1201" s="20">
        <v>34369</v>
      </c>
      <c r="B1201" s="21">
        <v>6.97</v>
      </c>
      <c r="C1201" s="238">
        <f t="shared" si="30"/>
        <v>34366</v>
      </c>
    </row>
    <row r="1202" spans="1:3" ht="16.2" x14ac:dyDescent="0.35">
      <c r="A1202" s="20">
        <v>34376</v>
      </c>
      <c r="B1202" s="21">
        <v>7.21</v>
      </c>
      <c r="C1202" s="238">
        <f t="shared" si="30"/>
        <v>34366</v>
      </c>
    </row>
    <row r="1203" spans="1:3" ht="16.2" x14ac:dyDescent="0.35">
      <c r="A1203" s="20">
        <v>34383</v>
      </c>
      <c r="B1203" s="21">
        <v>7.11</v>
      </c>
      <c r="C1203" s="238">
        <f t="shared" si="30"/>
        <v>34366</v>
      </c>
    </row>
    <row r="1204" spans="1:3" ht="16.2" x14ac:dyDescent="0.35">
      <c r="A1204" s="20">
        <v>34390</v>
      </c>
      <c r="B1204" s="21">
        <v>7.32</v>
      </c>
      <c r="C1204" s="238">
        <f t="shared" si="30"/>
        <v>34366</v>
      </c>
    </row>
    <row r="1205" spans="1:3" ht="16.2" x14ac:dyDescent="0.35">
      <c r="A1205" s="20">
        <v>34397</v>
      </c>
      <c r="B1205" s="21">
        <v>7.51</v>
      </c>
      <c r="C1205" s="238">
        <f t="shared" si="30"/>
        <v>34394</v>
      </c>
    </row>
    <row r="1206" spans="1:3" ht="16.2" x14ac:dyDescent="0.35">
      <c r="A1206" s="20">
        <v>34404</v>
      </c>
      <c r="B1206" s="21">
        <v>7.63</v>
      </c>
      <c r="C1206" s="238">
        <f t="shared" si="30"/>
        <v>34394</v>
      </c>
    </row>
    <row r="1207" spans="1:3" ht="16.2" x14ac:dyDescent="0.35">
      <c r="A1207" s="20">
        <v>34411</v>
      </c>
      <c r="B1207" s="21">
        <v>7.76</v>
      </c>
      <c r="C1207" s="238">
        <f t="shared" si="30"/>
        <v>34394</v>
      </c>
    </row>
    <row r="1208" spans="1:3" ht="16.2" x14ac:dyDescent="0.35">
      <c r="A1208" s="20">
        <v>34418</v>
      </c>
      <c r="B1208" s="21">
        <v>7.8</v>
      </c>
      <c r="C1208" s="238">
        <f t="shared" si="30"/>
        <v>34394</v>
      </c>
    </row>
    <row r="1209" spans="1:3" ht="16.2" x14ac:dyDescent="0.35">
      <c r="A1209" s="20">
        <v>34425</v>
      </c>
      <c r="B1209" s="21">
        <v>8.0399999999999991</v>
      </c>
      <c r="C1209" s="238">
        <f t="shared" si="30"/>
        <v>34425</v>
      </c>
    </row>
    <row r="1210" spans="1:3" ht="16.2" x14ac:dyDescent="0.35">
      <c r="A1210" s="20">
        <v>34432</v>
      </c>
      <c r="B1210" s="21">
        <v>8.4700000000000006</v>
      </c>
      <c r="C1210" s="238">
        <f t="shared" si="30"/>
        <v>34425</v>
      </c>
    </row>
    <row r="1211" spans="1:3" ht="16.2" x14ac:dyDescent="0.35">
      <c r="A1211" s="20">
        <v>34439</v>
      </c>
      <c r="B1211" s="21">
        <v>8.26</v>
      </c>
      <c r="C1211" s="238">
        <f t="shared" si="30"/>
        <v>34425</v>
      </c>
    </row>
    <row r="1212" spans="1:3" ht="16.2" x14ac:dyDescent="0.35">
      <c r="A1212" s="20">
        <v>34446</v>
      </c>
      <c r="B1212" s="21">
        <v>8.49</v>
      </c>
      <c r="C1212" s="238">
        <f t="shared" si="30"/>
        <v>34425</v>
      </c>
    </row>
    <row r="1213" spans="1:3" ht="16.2" x14ac:dyDescent="0.35">
      <c r="A1213" s="20">
        <v>34453</v>
      </c>
      <c r="B1213" s="21">
        <v>8.32</v>
      </c>
      <c r="C1213" s="238">
        <f t="shared" si="30"/>
        <v>34425</v>
      </c>
    </row>
    <row r="1214" spans="1:3" ht="16.2" x14ac:dyDescent="0.35">
      <c r="A1214" s="20">
        <v>34460</v>
      </c>
      <c r="B1214" s="21">
        <v>8.5299999999999994</v>
      </c>
      <c r="C1214" s="238">
        <f t="shared" si="30"/>
        <v>34455</v>
      </c>
    </row>
    <row r="1215" spans="1:3" ht="16.2" x14ac:dyDescent="0.35">
      <c r="A1215" s="20">
        <v>34467</v>
      </c>
      <c r="B1215" s="21">
        <v>8.77</v>
      </c>
      <c r="C1215" s="238">
        <f t="shared" si="30"/>
        <v>34455</v>
      </c>
    </row>
    <row r="1216" spans="1:3" ht="16.2" x14ac:dyDescent="0.35">
      <c r="A1216" s="20">
        <v>34474</v>
      </c>
      <c r="B1216" s="21">
        <v>8.56</v>
      </c>
      <c r="C1216" s="238">
        <f t="shared" si="30"/>
        <v>34455</v>
      </c>
    </row>
    <row r="1217" spans="1:3" ht="16.2" x14ac:dyDescent="0.35">
      <c r="A1217" s="20">
        <v>34481</v>
      </c>
      <c r="B1217" s="21">
        <v>8.5299999999999994</v>
      </c>
      <c r="C1217" s="238">
        <f t="shared" si="30"/>
        <v>34455</v>
      </c>
    </row>
    <row r="1218" spans="1:3" ht="16.2" x14ac:dyDescent="0.35">
      <c r="A1218" s="20">
        <v>34488</v>
      </c>
      <c r="B1218" s="21">
        <v>8.5500000000000007</v>
      </c>
      <c r="C1218" s="238">
        <f t="shared" si="30"/>
        <v>34486</v>
      </c>
    </row>
    <row r="1219" spans="1:3" ht="16.2" x14ac:dyDescent="0.35">
      <c r="A1219" s="20">
        <v>34495</v>
      </c>
      <c r="B1219" s="21">
        <v>8.25</v>
      </c>
      <c r="C1219" s="238">
        <f t="shared" si="30"/>
        <v>34486</v>
      </c>
    </row>
    <row r="1220" spans="1:3" ht="16.2" x14ac:dyDescent="0.35">
      <c r="A1220" s="20">
        <v>34502</v>
      </c>
      <c r="B1220" s="21">
        <v>8.33</v>
      </c>
      <c r="C1220" s="238">
        <f t="shared" si="30"/>
        <v>34486</v>
      </c>
    </row>
    <row r="1221" spans="1:3" ht="16.2" x14ac:dyDescent="0.35">
      <c r="A1221" s="20">
        <v>34509</v>
      </c>
      <c r="B1221" s="21">
        <v>8.4600000000000009</v>
      </c>
      <c r="C1221" s="238">
        <f t="shared" si="30"/>
        <v>34486</v>
      </c>
    </row>
    <row r="1222" spans="1:3" ht="16.2" x14ac:dyDescent="0.35">
      <c r="A1222" s="20">
        <v>34516</v>
      </c>
      <c r="B1222" s="21">
        <v>8.57</v>
      </c>
      <c r="C1222" s="238">
        <f t="shared" si="30"/>
        <v>34516</v>
      </c>
    </row>
    <row r="1223" spans="1:3" ht="16.2" x14ac:dyDescent="0.35">
      <c r="A1223" s="20">
        <v>34523</v>
      </c>
      <c r="B1223" s="21">
        <v>8.68</v>
      </c>
      <c r="C1223" s="238">
        <f t="shared" si="30"/>
        <v>34516</v>
      </c>
    </row>
    <row r="1224" spans="1:3" ht="16.2" x14ac:dyDescent="0.35">
      <c r="A1224" s="20">
        <v>34530</v>
      </c>
      <c r="B1224" s="21">
        <v>8.7200000000000006</v>
      </c>
      <c r="C1224" s="238">
        <f t="shared" si="30"/>
        <v>34516</v>
      </c>
    </row>
    <row r="1225" spans="1:3" ht="16.2" x14ac:dyDescent="0.35">
      <c r="A1225" s="20">
        <v>34537</v>
      </c>
      <c r="B1225" s="21">
        <v>8.5299999999999994</v>
      </c>
      <c r="C1225" s="238">
        <f t="shared" si="30"/>
        <v>34516</v>
      </c>
    </row>
    <row r="1226" spans="1:3" ht="16.2" x14ac:dyDescent="0.35">
      <c r="A1226" s="20">
        <v>34544</v>
      </c>
      <c r="B1226" s="21">
        <v>8.57</v>
      </c>
      <c r="C1226" s="238">
        <f t="shared" si="30"/>
        <v>34516</v>
      </c>
    </row>
    <row r="1227" spans="1:3" ht="16.2" x14ac:dyDescent="0.35">
      <c r="A1227" s="20">
        <v>34551</v>
      </c>
      <c r="B1227" s="21">
        <v>8.3800000000000008</v>
      </c>
      <c r="C1227" s="238">
        <f t="shared" si="30"/>
        <v>34547</v>
      </c>
    </row>
    <row r="1228" spans="1:3" ht="16.2" x14ac:dyDescent="0.35">
      <c r="A1228" s="20">
        <v>34558</v>
      </c>
      <c r="B1228" s="21">
        <v>8.57</v>
      </c>
      <c r="C1228" s="238">
        <f t="shared" si="30"/>
        <v>34547</v>
      </c>
    </row>
    <row r="1229" spans="1:3" ht="16.2" x14ac:dyDescent="0.35">
      <c r="A1229" s="20">
        <v>34565</v>
      </c>
      <c r="B1229" s="21">
        <v>8.5399999999999991</v>
      </c>
      <c r="C1229" s="238">
        <f t="shared" si="30"/>
        <v>34547</v>
      </c>
    </row>
    <row r="1230" spans="1:3" ht="16.2" x14ac:dyDescent="0.35">
      <c r="A1230" s="20">
        <v>34572</v>
      </c>
      <c r="B1230" s="21">
        <v>8.56</v>
      </c>
      <c r="C1230" s="238">
        <f t="shared" si="30"/>
        <v>34547</v>
      </c>
    </row>
    <row r="1231" spans="1:3" ht="16.2" x14ac:dyDescent="0.35">
      <c r="A1231" s="20">
        <v>34579</v>
      </c>
      <c r="B1231" s="21">
        <v>8.48</v>
      </c>
      <c r="C1231" s="238">
        <f t="shared" si="30"/>
        <v>34578</v>
      </c>
    </row>
    <row r="1232" spans="1:3" ht="16.2" x14ac:dyDescent="0.35">
      <c r="A1232" s="20">
        <v>34586</v>
      </c>
      <c r="B1232" s="21">
        <v>8.51</v>
      </c>
      <c r="C1232" s="238">
        <f t="shared" ref="C1232:C1295" si="31">EOMONTH(A1232,-1)+1</f>
        <v>34578</v>
      </c>
    </row>
    <row r="1233" spans="1:3" ht="16.2" x14ac:dyDescent="0.35">
      <c r="A1233" s="20">
        <v>34593</v>
      </c>
      <c r="B1233" s="21">
        <v>8.66</v>
      </c>
      <c r="C1233" s="238">
        <f t="shared" si="31"/>
        <v>34578</v>
      </c>
    </row>
    <row r="1234" spans="1:3" ht="16.2" x14ac:dyDescent="0.35">
      <c r="A1234" s="20">
        <v>34600</v>
      </c>
      <c r="B1234" s="21">
        <v>8.73</v>
      </c>
      <c r="C1234" s="238">
        <f t="shared" si="31"/>
        <v>34578</v>
      </c>
    </row>
    <row r="1235" spans="1:3" ht="16.2" x14ac:dyDescent="0.35">
      <c r="A1235" s="20">
        <v>34607</v>
      </c>
      <c r="B1235" s="21">
        <v>8.82</v>
      </c>
      <c r="C1235" s="238">
        <f t="shared" si="31"/>
        <v>34578</v>
      </c>
    </row>
    <row r="1236" spans="1:3" ht="16.2" x14ac:dyDescent="0.35">
      <c r="A1236" s="20">
        <v>34614</v>
      </c>
      <c r="B1236" s="21">
        <v>8.89</v>
      </c>
      <c r="C1236" s="238">
        <f t="shared" si="31"/>
        <v>34608</v>
      </c>
    </row>
    <row r="1237" spans="1:3" ht="16.2" x14ac:dyDescent="0.35">
      <c r="A1237" s="20">
        <v>34621</v>
      </c>
      <c r="B1237" s="21">
        <v>8.93</v>
      </c>
      <c r="C1237" s="238">
        <f t="shared" si="31"/>
        <v>34608</v>
      </c>
    </row>
    <row r="1238" spans="1:3" ht="16.2" x14ac:dyDescent="0.35">
      <c r="A1238" s="20">
        <v>34628</v>
      </c>
      <c r="B1238" s="21">
        <v>8.85</v>
      </c>
      <c r="C1238" s="238">
        <f t="shared" si="31"/>
        <v>34608</v>
      </c>
    </row>
    <row r="1239" spans="1:3" ht="16.2" x14ac:dyDescent="0.35">
      <c r="A1239" s="20">
        <v>34635</v>
      </c>
      <c r="B1239" s="21">
        <v>9.0299999999999994</v>
      </c>
      <c r="C1239" s="238">
        <f t="shared" si="31"/>
        <v>34608</v>
      </c>
    </row>
    <row r="1240" spans="1:3" ht="16.2" x14ac:dyDescent="0.35">
      <c r="A1240" s="20">
        <v>34642</v>
      </c>
      <c r="B1240" s="21">
        <v>9.0500000000000007</v>
      </c>
      <c r="C1240" s="238">
        <f t="shared" si="31"/>
        <v>34639</v>
      </c>
    </row>
    <row r="1241" spans="1:3" ht="16.2" x14ac:dyDescent="0.35">
      <c r="A1241" s="20">
        <v>34649</v>
      </c>
      <c r="B1241" s="21">
        <v>9.19</v>
      </c>
      <c r="C1241" s="238">
        <f t="shared" si="31"/>
        <v>34639</v>
      </c>
    </row>
    <row r="1242" spans="1:3" ht="16.2" x14ac:dyDescent="0.35">
      <c r="A1242" s="20">
        <v>34656</v>
      </c>
      <c r="B1242" s="21">
        <v>9.19</v>
      </c>
      <c r="C1242" s="238">
        <f t="shared" si="31"/>
        <v>34639</v>
      </c>
    </row>
    <row r="1243" spans="1:3" ht="16.2" x14ac:dyDescent="0.35">
      <c r="A1243" s="20">
        <v>34663</v>
      </c>
      <c r="B1243" s="21">
        <v>9.25</v>
      </c>
      <c r="C1243" s="238">
        <f t="shared" si="31"/>
        <v>34639</v>
      </c>
    </row>
    <row r="1244" spans="1:3" ht="16.2" x14ac:dyDescent="0.35">
      <c r="A1244" s="20">
        <v>34670</v>
      </c>
      <c r="B1244" s="21">
        <v>9.23</v>
      </c>
      <c r="C1244" s="238">
        <f t="shared" si="31"/>
        <v>34669</v>
      </c>
    </row>
    <row r="1245" spans="1:3" ht="16.2" x14ac:dyDescent="0.35">
      <c r="A1245" s="20">
        <v>34677</v>
      </c>
      <c r="B1245" s="21">
        <v>9.15</v>
      </c>
      <c r="C1245" s="238">
        <f t="shared" si="31"/>
        <v>34669</v>
      </c>
    </row>
    <row r="1246" spans="1:3" ht="16.2" x14ac:dyDescent="0.35">
      <c r="A1246" s="20">
        <v>34684</v>
      </c>
      <c r="B1246" s="21">
        <v>9.25</v>
      </c>
      <c r="C1246" s="238">
        <f t="shared" si="31"/>
        <v>34669</v>
      </c>
    </row>
    <row r="1247" spans="1:3" ht="16.2" x14ac:dyDescent="0.35">
      <c r="A1247" s="20">
        <v>34691</v>
      </c>
      <c r="B1247" s="21">
        <v>9.18</v>
      </c>
      <c r="C1247" s="238">
        <f t="shared" si="31"/>
        <v>34669</v>
      </c>
    </row>
    <row r="1248" spans="1:3" ht="16.2" x14ac:dyDescent="0.35">
      <c r="A1248" s="20">
        <v>34698</v>
      </c>
      <c r="B1248" s="21">
        <v>9.18</v>
      </c>
      <c r="C1248" s="238">
        <f t="shared" si="31"/>
        <v>34669</v>
      </c>
    </row>
    <row r="1249" spans="1:3" ht="16.2" x14ac:dyDescent="0.35">
      <c r="A1249" s="20">
        <v>34705</v>
      </c>
      <c r="B1249" s="21">
        <v>9.2200000000000006</v>
      </c>
      <c r="C1249" s="238">
        <f t="shared" si="31"/>
        <v>34700</v>
      </c>
    </row>
    <row r="1250" spans="1:3" ht="16.2" x14ac:dyDescent="0.35">
      <c r="A1250" s="20">
        <v>34712</v>
      </c>
      <c r="B1250" s="21">
        <v>9.19</v>
      </c>
      <c r="C1250" s="238">
        <f t="shared" si="31"/>
        <v>34700</v>
      </c>
    </row>
    <row r="1251" spans="1:3" ht="16.2" x14ac:dyDescent="0.35">
      <c r="A1251" s="20">
        <v>34719</v>
      </c>
      <c r="B1251" s="21">
        <v>9.0500000000000007</v>
      </c>
      <c r="C1251" s="238">
        <f t="shared" si="31"/>
        <v>34700</v>
      </c>
    </row>
    <row r="1252" spans="1:3" ht="16.2" x14ac:dyDescent="0.35">
      <c r="A1252" s="20">
        <v>34726</v>
      </c>
      <c r="B1252" s="21">
        <v>9.1300000000000008</v>
      </c>
      <c r="C1252" s="238">
        <f t="shared" si="31"/>
        <v>34700</v>
      </c>
    </row>
    <row r="1253" spans="1:3" ht="16.2" x14ac:dyDescent="0.35">
      <c r="A1253" s="20">
        <v>34733</v>
      </c>
      <c r="B1253" s="21">
        <v>8.94</v>
      </c>
      <c r="C1253" s="238">
        <f t="shared" si="31"/>
        <v>34731</v>
      </c>
    </row>
    <row r="1254" spans="1:3" ht="16.2" x14ac:dyDescent="0.35">
      <c r="A1254" s="20">
        <v>34740</v>
      </c>
      <c r="B1254" s="21">
        <v>8.8000000000000007</v>
      </c>
      <c r="C1254" s="238">
        <f t="shared" si="31"/>
        <v>34731</v>
      </c>
    </row>
    <row r="1255" spans="1:3" ht="16.2" x14ac:dyDescent="0.35">
      <c r="A1255" s="20">
        <v>34747</v>
      </c>
      <c r="B1255" s="21">
        <v>8.84</v>
      </c>
      <c r="C1255" s="238">
        <f t="shared" si="31"/>
        <v>34731</v>
      </c>
    </row>
    <row r="1256" spans="1:3" ht="16.2" x14ac:dyDescent="0.35">
      <c r="A1256" s="20">
        <v>34754</v>
      </c>
      <c r="B1256" s="21">
        <v>8.73</v>
      </c>
      <c r="C1256" s="238">
        <f t="shared" si="31"/>
        <v>34731</v>
      </c>
    </row>
    <row r="1257" spans="1:3" ht="16.2" x14ac:dyDescent="0.35">
      <c r="A1257" s="20">
        <v>34761</v>
      </c>
      <c r="B1257" s="21">
        <v>8.5299999999999994</v>
      </c>
      <c r="C1257" s="238">
        <f t="shared" si="31"/>
        <v>34759</v>
      </c>
    </row>
    <row r="1258" spans="1:3" ht="16.2" x14ac:dyDescent="0.35">
      <c r="A1258" s="20">
        <v>34768</v>
      </c>
      <c r="B1258" s="21">
        <v>8.6199999999999992</v>
      </c>
      <c r="C1258" s="238">
        <f t="shared" si="31"/>
        <v>34759</v>
      </c>
    </row>
    <row r="1259" spans="1:3" ht="16.2" x14ac:dyDescent="0.35">
      <c r="A1259" s="20">
        <v>34775</v>
      </c>
      <c r="B1259" s="21">
        <v>8.3800000000000008</v>
      </c>
      <c r="C1259" s="238">
        <f t="shared" si="31"/>
        <v>34759</v>
      </c>
    </row>
    <row r="1260" spans="1:3" ht="16.2" x14ac:dyDescent="0.35">
      <c r="A1260" s="20">
        <v>34782</v>
      </c>
      <c r="B1260" s="21">
        <v>8.4</v>
      </c>
      <c r="C1260" s="238">
        <f t="shared" si="31"/>
        <v>34759</v>
      </c>
    </row>
    <row r="1261" spans="1:3" ht="16.2" x14ac:dyDescent="0.35">
      <c r="A1261" s="20">
        <v>34789</v>
      </c>
      <c r="B1261" s="21">
        <v>8.3800000000000008</v>
      </c>
      <c r="C1261" s="238">
        <f t="shared" si="31"/>
        <v>34759</v>
      </c>
    </row>
    <row r="1262" spans="1:3" ht="16.2" x14ac:dyDescent="0.35">
      <c r="A1262" s="20">
        <v>34796</v>
      </c>
      <c r="B1262" s="21">
        <v>8.41</v>
      </c>
      <c r="C1262" s="238">
        <f t="shared" si="31"/>
        <v>34790</v>
      </c>
    </row>
    <row r="1263" spans="1:3" ht="16.2" x14ac:dyDescent="0.35">
      <c r="A1263" s="20">
        <v>34803</v>
      </c>
      <c r="B1263" s="21">
        <v>8.3699999999999992</v>
      </c>
      <c r="C1263" s="238">
        <f t="shared" si="31"/>
        <v>34790</v>
      </c>
    </row>
    <row r="1264" spans="1:3" ht="16.2" x14ac:dyDescent="0.35">
      <c r="A1264" s="20">
        <v>34810</v>
      </c>
      <c r="B1264" s="21">
        <v>8.24</v>
      </c>
      <c r="C1264" s="238">
        <f t="shared" si="31"/>
        <v>34790</v>
      </c>
    </row>
    <row r="1265" spans="1:3" ht="16.2" x14ac:dyDescent="0.35">
      <c r="A1265" s="20">
        <v>34817</v>
      </c>
      <c r="B1265" s="21">
        <v>8.26</v>
      </c>
      <c r="C1265" s="238">
        <f t="shared" si="31"/>
        <v>34790</v>
      </c>
    </row>
    <row r="1266" spans="1:3" ht="16.2" x14ac:dyDescent="0.35">
      <c r="A1266" s="20">
        <v>34824</v>
      </c>
      <c r="B1266" s="21">
        <v>8.27</v>
      </c>
      <c r="C1266" s="238">
        <f t="shared" si="31"/>
        <v>34820</v>
      </c>
    </row>
    <row r="1267" spans="1:3" ht="16.2" x14ac:dyDescent="0.35">
      <c r="A1267" s="20">
        <v>34831</v>
      </c>
      <c r="B1267" s="21">
        <v>7.87</v>
      </c>
      <c r="C1267" s="238">
        <f t="shared" si="31"/>
        <v>34820</v>
      </c>
    </row>
    <row r="1268" spans="1:3" ht="16.2" x14ac:dyDescent="0.35">
      <c r="A1268" s="20">
        <v>34838</v>
      </c>
      <c r="B1268" s="21">
        <v>7.83</v>
      </c>
      <c r="C1268" s="238">
        <f t="shared" si="31"/>
        <v>34820</v>
      </c>
    </row>
    <row r="1269" spans="1:3" ht="16.2" x14ac:dyDescent="0.35">
      <c r="A1269" s="20">
        <v>34845</v>
      </c>
      <c r="B1269" s="21">
        <v>7.85</v>
      </c>
      <c r="C1269" s="238">
        <f t="shared" si="31"/>
        <v>34820</v>
      </c>
    </row>
    <row r="1270" spans="1:3" ht="16.2" x14ac:dyDescent="0.35">
      <c r="A1270" s="20">
        <v>34852</v>
      </c>
      <c r="B1270" s="21">
        <v>7.71</v>
      </c>
      <c r="C1270" s="238">
        <f t="shared" si="31"/>
        <v>34851</v>
      </c>
    </row>
    <row r="1271" spans="1:3" ht="16.2" x14ac:dyDescent="0.35">
      <c r="A1271" s="20">
        <v>34859</v>
      </c>
      <c r="B1271" s="21">
        <v>7.51</v>
      </c>
      <c r="C1271" s="238">
        <f t="shared" si="31"/>
        <v>34851</v>
      </c>
    </row>
    <row r="1272" spans="1:3" ht="16.2" x14ac:dyDescent="0.35">
      <c r="A1272" s="20">
        <v>34866</v>
      </c>
      <c r="B1272" s="21">
        <v>7.55</v>
      </c>
      <c r="C1272" s="238">
        <f t="shared" si="31"/>
        <v>34851</v>
      </c>
    </row>
    <row r="1273" spans="1:3" ht="16.2" x14ac:dyDescent="0.35">
      <c r="A1273" s="20">
        <v>34873</v>
      </c>
      <c r="B1273" s="21">
        <v>7.53</v>
      </c>
      <c r="C1273" s="238">
        <f t="shared" si="31"/>
        <v>34851</v>
      </c>
    </row>
    <row r="1274" spans="1:3" ht="16.2" x14ac:dyDescent="0.35">
      <c r="A1274" s="20">
        <v>34880</v>
      </c>
      <c r="B1274" s="21">
        <v>7.53</v>
      </c>
      <c r="C1274" s="238">
        <f t="shared" si="31"/>
        <v>34851</v>
      </c>
    </row>
    <row r="1275" spans="1:3" ht="16.2" x14ac:dyDescent="0.35">
      <c r="A1275" s="20">
        <v>34887</v>
      </c>
      <c r="B1275" s="21">
        <v>7.63</v>
      </c>
      <c r="C1275" s="238">
        <f t="shared" si="31"/>
        <v>34881</v>
      </c>
    </row>
    <row r="1276" spans="1:3" ht="16.2" x14ac:dyDescent="0.35">
      <c r="A1276" s="20">
        <v>34894</v>
      </c>
      <c r="B1276" s="21">
        <v>7.41</v>
      </c>
      <c r="C1276" s="238">
        <f t="shared" si="31"/>
        <v>34881</v>
      </c>
    </row>
    <row r="1277" spans="1:3" ht="16.2" x14ac:dyDescent="0.35">
      <c r="A1277" s="20">
        <v>34901</v>
      </c>
      <c r="B1277" s="21">
        <v>7.6</v>
      </c>
      <c r="C1277" s="238">
        <f t="shared" si="31"/>
        <v>34881</v>
      </c>
    </row>
    <row r="1278" spans="1:3" ht="16.2" x14ac:dyDescent="0.35">
      <c r="A1278" s="20">
        <v>34908</v>
      </c>
      <c r="B1278" s="21">
        <v>7.79</v>
      </c>
      <c r="C1278" s="238">
        <f t="shared" si="31"/>
        <v>34881</v>
      </c>
    </row>
    <row r="1279" spans="1:3" ht="16.2" x14ac:dyDescent="0.35">
      <c r="A1279" s="20">
        <v>34915</v>
      </c>
      <c r="B1279" s="21">
        <v>7.82</v>
      </c>
      <c r="C1279" s="238">
        <f t="shared" si="31"/>
        <v>34912</v>
      </c>
    </row>
    <row r="1280" spans="1:3" ht="16.2" x14ac:dyDescent="0.35">
      <c r="A1280" s="20">
        <v>34922</v>
      </c>
      <c r="B1280" s="21">
        <v>7.8</v>
      </c>
      <c r="C1280" s="238">
        <f t="shared" si="31"/>
        <v>34912</v>
      </c>
    </row>
    <row r="1281" spans="1:3" ht="16.2" x14ac:dyDescent="0.35">
      <c r="A1281" s="20">
        <v>34929</v>
      </c>
      <c r="B1281" s="21">
        <v>7.94</v>
      </c>
      <c r="C1281" s="238">
        <f t="shared" si="31"/>
        <v>34912</v>
      </c>
    </row>
    <row r="1282" spans="1:3" ht="16.2" x14ac:dyDescent="0.35">
      <c r="A1282" s="20">
        <v>34936</v>
      </c>
      <c r="B1282" s="21">
        <v>7.88</v>
      </c>
      <c r="C1282" s="238">
        <f t="shared" si="31"/>
        <v>34912</v>
      </c>
    </row>
    <row r="1283" spans="1:3" ht="16.2" x14ac:dyDescent="0.35">
      <c r="A1283" s="20">
        <v>34943</v>
      </c>
      <c r="B1283" s="21">
        <v>7.76</v>
      </c>
      <c r="C1283" s="238">
        <f t="shared" si="31"/>
        <v>34943</v>
      </c>
    </row>
    <row r="1284" spans="1:3" ht="16.2" x14ac:dyDescent="0.35">
      <c r="A1284" s="20">
        <v>34950</v>
      </c>
      <c r="B1284" s="21">
        <v>7.63</v>
      </c>
      <c r="C1284" s="238">
        <f t="shared" si="31"/>
        <v>34943</v>
      </c>
    </row>
    <row r="1285" spans="1:3" ht="16.2" x14ac:dyDescent="0.35">
      <c r="A1285" s="20">
        <v>34957</v>
      </c>
      <c r="B1285" s="21">
        <v>7.6</v>
      </c>
      <c r="C1285" s="238">
        <f t="shared" si="31"/>
        <v>34943</v>
      </c>
    </row>
    <row r="1286" spans="1:3" ht="16.2" x14ac:dyDescent="0.35">
      <c r="A1286" s="20">
        <v>34964</v>
      </c>
      <c r="B1286" s="21">
        <v>7.57</v>
      </c>
      <c r="C1286" s="238">
        <f t="shared" si="31"/>
        <v>34943</v>
      </c>
    </row>
    <row r="1287" spans="1:3" ht="16.2" x14ac:dyDescent="0.35">
      <c r="A1287" s="20">
        <v>34971</v>
      </c>
      <c r="B1287" s="21">
        <v>7.62</v>
      </c>
      <c r="C1287" s="238">
        <f t="shared" si="31"/>
        <v>34943</v>
      </c>
    </row>
    <row r="1288" spans="1:3" ht="16.2" x14ac:dyDescent="0.35">
      <c r="A1288" s="20">
        <v>34978</v>
      </c>
      <c r="B1288" s="21">
        <v>7.57</v>
      </c>
      <c r="C1288" s="238">
        <f t="shared" si="31"/>
        <v>34973</v>
      </c>
    </row>
    <row r="1289" spans="1:3" ht="16.2" x14ac:dyDescent="0.35">
      <c r="A1289" s="20">
        <v>34985</v>
      </c>
      <c r="B1289" s="21">
        <v>7.5</v>
      </c>
      <c r="C1289" s="238">
        <f t="shared" si="31"/>
        <v>34973</v>
      </c>
    </row>
    <row r="1290" spans="1:3" ht="16.2" x14ac:dyDescent="0.35">
      <c r="A1290" s="20">
        <v>34992</v>
      </c>
      <c r="B1290" s="21">
        <v>7.38</v>
      </c>
      <c r="C1290" s="238">
        <f t="shared" si="31"/>
        <v>34973</v>
      </c>
    </row>
    <row r="1291" spans="1:3" ht="16.2" x14ac:dyDescent="0.35">
      <c r="A1291" s="20">
        <v>34999</v>
      </c>
      <c r="B1291" s="21">
        <v>7.45</v>
      </c>
      <c r="C1291" s="238">
        <f t="shared" si="31"/>
        <v>34973</v>
      </c>
    </row>
    <row r="1292" spans="1:3" ht="16.2" x14ac:dyDescent="0.35">
      <c r="A1292" s="20">
        <v>35006</v>
      </c>
      <c r="B1292" s="21">
        <v>7.44</v>
      </c>
      <c r="C1292" s="238">
        <f t="shared" si="31"/>
        <v>35004</v>
      </c>
    </row>
    <row r="1293" spans="1:3" ht="16.2" x14ac:dyDescent="0.35">
      <c r="A1293" s="20">
        <v>35012</v>
      </c>
      <c r="B1293" s="21">
        <v>7.37</v>
      </c>
      <c r="C1293" s="238">
        <f t="shared" si="31"/>
        <v>35004</v>
      </c>
    </row>
    <row r="1294" spans="1:3" ht="16.2" x14ac:dyDescent="0.35">
      <c r="A1294" s="20">
        <v>35020</v>
      </c>
      <c r="B1294" s="21">
        <v>7.35</v>
      </c>
      <c r="C1294" s="238">
        <f t="shared" si="31"/>
        <v>35004</v>
      </c>
    </row>
    <row r="1295" spans="1:3" ht="16.2" x14ac:dyDescent="0.35">
      <c r="A1295" s="20">
        <v>35027</v>
      </c>
      <c r="B1295" s="21">
        <v>7.35</v>
      </c>
      <c r="C1295" s="238">
        <f t="shared" si="31"/>
        <v>35004</v>
      </c>
    </row>
    <row r="1296" spans="1:3" ht="16.2" x14ac:dyDescent="0.35">
      <c r="A1296" s="20">
        <v>35034</v>
      </c>
      <c r="B1296" s="21">
        <v>7.33</v>
      </c>
      <c r="C1296" s="238">
        <f t="shared" ref="C1296:C1359" si="32">EOMONTH(A1296,-1)+1</f>
        <v>35034</v>
      </c>
    </row>
    <row r="1297" spans="1:3" ht="16.2" x14ac:dyDescent="0.35">
      <c r="A1297" s="20">
        <v>35041</v>
      </c>
      <c r="B1297" s="21">
        <v>7.18</v>
      </c>
      <c r="C1297" s="238">
        <f t="shared" si="32"/>
        <v>35034</v>
      </c>
    </row>
    <row r="1298" spans="1:3" ht="16.2" x14ac:dyDescent="0.35">
      <c r="A1298" s="20">
        <v>35048</v>
      </c>
      <c r="B1298" s="21">
        <v>7.15</v>
      </c>
      <c r="C1298" s="238">
        <f t="shared" si="32"/>
        <v>35034</v>
      </c>
    </row>
    <row r="1299" spans="1:3" ht="16.2" x14ac:dyDescent="0.35">
      <c r="A1299" s="20">
        <v>35055</v>
      </c>
      <c r="B1299" s="21">
        <v>7.23</v>
      </c>
      <c r="C1299" s="238">
        <f t="shared" si="32"/>
        <v>35034</v>
      </c>
    </row>
    <row r="1300" spans="1:3" ht="16.2" x14ac:dyDescent="0.35">
      <c r="A1300" s="20">
        <v>35062</v>
      </c>
      <c r="B1300" s="21">
        <v>7.11</v>
      </c>
      <c r="C1300" s="238">
        <f t="shared" si="32"/>
        <v>35034</v>
      </c>
    </row>
    <row r="1301" spans="1:3" ht="16.2" x14ac:dyDescent="0.35">
      <c r="A1301" s="20">
        <v>35069</v>
      </c>
      <c r="B1301" s="21">
        <v>7.02</v>
      </c>
      <c r="C1301" s="238">
        <f t="shared" si="32"/>
        <v>35065</v>
      </c>
    </row>
    <row r="1302" spans="1:3" ht="16.2" x14ac:dyDescent="0.35">
      <c r="A1302" s="20">
        <v>35076</v>
      </c>
      <c r="B1302" s="21">
        <v>7.08</v>
      </c>
      <c r="C1302" s="238">
        <f t="shared" si="32"/>
        <v>35065</v>
      </c>
    </row>
    <row r="1303" spans="1:3" ht="16.2" x14ac:dyDescent="0.35">
      <c r="A1303" s="20">
        <v>35083</v>
      </c>
      <c r="B1303" s="21">
        <v>7.02</v>
      </c>
      <c r="C1303" s="238">
        <f t="shared" si="32"/>
        <v>35065</v>
      </c>
    </row>
    <row r="1304" spans="1:3" ht="16.2" x14ac:dyDescent="0.35">
      <c r="A1304" s="20">
        <v>35090</v>
      </c>
      <c r="B1304" s="21">
        <v>7</v>
      </c>
      <c r="C1304" s="238">
        <f t="shared" si="32"/>
        <v>35065</v>
      </c>
    </row>
    <row r="1305" spans="1:3" ht="16.2" x14ac:dyDescent="0.35">
      <c r="A1305" s="20">
        <v>35097</v>
      </c>
      <c r="B1305" s="21">
        <v>7.02</v>
      </c>
      <c r="C1305" s="238">
        <f t="shared" si="32"/>
        <v>35096</v>
      </c>
    </row>
    <row r="1306" spans="1:3" ht="16.2" x14ac:dyDescent="0.35">
      <c r="A1306" s="20">
        <v>35104</v>
      </c>
      <c r="B1306" s="21">
        <v>7.02</v>
      </c>
      <c r="C1306" s="238">
        <f t="shared" si="32"/>
        <v>35096</v>
      </c>
    </row>
    <row r="1307" spans="1:3" ht="16.2" x14ac:dyDescent="0.35">
      <c r="A1307" s="20">
        <v>35111</v>
      </c>
      <c r="B1307" s="21">
        <v>6.94</v>
      </c>
      <c r="C1307" s="238">
        <f t="shared" si="32"/>
        <v>35096</v>
      </c>
    </row>
    <row r="1308" spans="1:3" ht="16.2" x14ac:dyDescent="0.35">
      <c r="A1308" s="20">
        <v>35118</v>
      </c>
      <c r="B1308" s="21">
        <v>7.32</v>
      </c>
      <c r="C1308" s="238">
        <f t="shared" si="32"/>
        <v>35096</v>
      </c>
    </row>
    <row r="1309" spans="1:3" ht="16.2" x14ac:dyDescent="0.35">
      <c r="A1309" s="20">
        <v>35125</v>
      </c>
      <c r="B1309" s="21">
        <v>7.41</v>
      </c>
      <c r="C1309" s="238">
        <f t="shared" si="32"/>
        <v>35125</v>
      </c>
    </row>
    <row r="1310" spans="1:3" ht="16.2" x14ac:dyDescent="0.35">
      <c r="A1310" s="20">
        <v>35132</v>
      </c>
      <c r="B1310" s="21">
        <v>7.38</v>
      </c>
      <c r="C1310" s="238">
        <f t="shared" si="32"/>
        <v>35125</v>
      </c>
    </row>
    <row r="1311" spans="1:3" ht="16.2" x14ac:dyDescent="0.35">
      <c r="A1311" s="20">
        <v>35139</v>
      </c>
      <c r="B1311" s="21">
        <v>7.83</v>
      </c>
      <c r="C1311" s="238">
        <f t="shared" si="32"/>
        <v>35125</v>
      </c>
    </row>
    <row r="1312" spans="1:3" ht="16.2" x14ac:dyDescent="0.35">
      <c r="A1312" s="20">
        <v>35146</v>
      </c>
      <c r="B1312" s="21">
        <v>7.81</v>
      </c>
      <c r="C1312" s="238">
        <f t="shared" si="32"/>
        <v>35125</v>
      </c>
    </row>
    <row r="1313" spans="1:3" ht="16.2" x14ac:dyDescent="0.35">
      <c r="A1313" s="20">
        <v>35153</v>
      </c>
      <c r="B1313" s="21">
        <v>7.69</v>
      </c>
      <c r="C1313" s="238">
        <f t="shared" si="32"/>
        <v>35125</v>
      </c>
    </row>
    <row r="1314" spans="1:3" ht="16.2" x14ac:dyDescent="0.35">
      <c r="A1314" s="20">
        <v>35160</v>
      </c>
      <c r="B1314" s="21">
        <v>7.78</v>
      </c>
      <c r="C1314" s="238">
        <f t="shared" si="32"/>
        <v>35156</v>
      </c>
    </row>
    <row r="1315" spans="1:3" ht="16.2" x14ac:dyDescent="0.35">
      <c r="A1315" s="20">
        <v>35167</v>
      </c>
      <c r="B1315" s="21">
        <v>8.0500000000000007</v>
      </c>
      <c r="C1315" s="238">
        <f t="shared" si="32"/>
        <v>35156</v>
      </c>
    </row>
    <row r="1316" spans="1:3" ht="16.2" x14ac:dyDescent="0.35">
      <c r="A1316" s="20">
        <v>35174</v>
      </c>
      <c r="B1316" s="21">
        <v>7.95</v>
      </c>
      <c r="C1316" s="238">
        <f t="shared" si="32"/>
        <v>35156</v>
      </c>
    </row>
    <row r="1317" spans="1:3" ht="16.2" x14ac:dyDescent="0.35">
      <c r="A1317" s="20">
        <v>35181</v>
      </c>
      <c r="B1317" s="21">
        <v>7.92</v>
      </c>
      <c r="C1317" s="238">
        <f t="shared" si="32"/>
        <v>35156</v>
      </c>
    </row>
    <row r="1318" spans="1:3" ht="16.2" x14ac:dyDescent="0.35">
      <c r="A1318" s="20">
        <v>35188</v>
      </c>
      <c r="B1318" s="21">
        <v>7.99</v>
      </c>
      <c r="C1318" s="238">
        <f t="shared" si="32"/>
        <v>35186</v>
      </c>
    </row>
    <row r="1319" spans="1:3" ht="16.2" x14ac:dyDescent="0.35">
      <c r="A1319" s="20">
        <v>35195</v>
      </c>
      <c r="B1319" s="21">
        <v>8.24</v>
      </c>
      <c r="C1319" s="238">
        <f t="shared" si="32"/>
        <v>35186</v>
      </c>
    </row>
    <row r="1320" spans="1:3" ht="16.2" x14ac:dyDescent="0.35">
      <c r="A1320" s="20">
        <v>35202</v>
      </c>
      <c r="B1320" s="21">
        <v>8.08</v>
      </c>
      <c r="C1320" s="238">
        <f t="shared" si="32"/>
        <v>35186</v>
      </c>
    </row>
    <row r="1321" spans="1:3" ht="16.2" x14ac:dyDescent="0.35">
      <c r="A1321" s="20">
        <v>35209</v>
      </c>
      <c r="B1321" s="21">
        <v>8.01</v>
      </c>
      <c r="C1321" s="238">
        <f t="shared" si="32"/>
        <v>35186</v>
      </c>
    </row>
    <row r="1322" spans="1:3" ht="16.2" x14ac:dyDescent="0.35">
      <c r="A1322" s="20">
        <v>35216</v>
      </c>
      <c r="B1322" s="21">
        <v>8.0299999999999994</v>
      </c>
      <c r="C1322" s="238">
        <f t="shared" si="32"/>
        <v>35186</v>
      </c>
    </row>
    <row r="1323" spans="1:3" ht="16.2" x14ac:dyDescent="0.35">
      <c r="A1323" s="20">
        <v>35223</v>
      </c>
      <c r="B1323" s="21">
        <v>8.3000000000000007</v>
      </c>
      <c r="C1323" s="238">
        <f t="shared" si="32"/>
        <v>35217</v>
      </c>
    </row>
    <row r="1324" spans="1:3" ht="16.2" x14ac:dyDescent="0.35">
      <c r="A1324" s="20">
        <v>35230</v>
      </c>
      <c r="B1324" s="21">
        <v>8.39</v>
      </c>
      <c r="C1324" s="238">
        <f t="shared" si="32"/>
        <v>35217</v>
      </c>
    </row>
    <row r="1325" spans="1:3" ht="16.2" x14ac:dyDescent="0.35">
      <c r="A1325" s="20">
        <v>35237</v>
      </c>
      <c r="B1325" s="21">
        <v>8.3000000000000007</v>
      </c>
      <c r="C1325" s="238">
        <f t="shared" si="32"/>
        <v>35217</v>
      </c>
    </row>
    <row r="1326" spans="1:3" ht="16.2" x14ac:dyDescent="0.35">
      <c r="A1326" s="20">
        <v>35244</v>
      </c>
      <c r="B1326" s="21">
        <v>8.2899999999999991</v>
      </c>
      <c r="C1326" s="238">
        <f t="shared" si="32"/>
        <v>35217</v>
      </c>
    </row>
    <row r="1327" spans="1:3" ht="16.2" x14ac:dyDescent="0.35">
      <c r="A1327" s="20">
        <v>35251</v>
      </c>
      <c r="B1327" s="21">
        <v>8.14</v>
      </c>
      <c r="C1327" s="238">
        <f t="shared" si="32"/>
        <v>35247</v>
      </c>
    </row>
    <row r="1328" spans="1:3" ht="16.2" x14ac:dyDescent="0.35">
      <c r="A1328" s="20">
        <v>35258</v>
      </c>
      <c r="B1328" s="21">
        <v>8.42</v>
      </c>
      <c r="C1328" s="238">
        <f t="shared" si="32"/>
        <v>35247</v>
      </c>
    </row>
    <row r="1329" spans="1:3" ht="16.2" x14ac:dyDescent="0.35">
      <c r="A1329" s="20">
        <v>35265</v>
      </c>
      <c r="B1329" s="21">
        <v>8.23</v>
      </c>
      <c r="C1329" s="238">
        <f t="shared" si="32"/>
        <v>35247</v>
      </c>
    </row>
    <row r="1330" spans="1:3" ht="16.2" x14ac:dyDescent="0.35">
      <c r="A1330" s="20">
        <v>35272</v>
      </c>
      <c r="B1330" s="21">
        <v>8.19</v>
      </c>
      <c r="C1330" s="238">
        <f t="shared" si="32"/>
        <v>35247</v>
      </c>
    </row>
    <row r="1331" spans="1:3" ht="16.2" x14ac:dyDescent="0.35">
      <c r="A1331" s="20">
        <v>35279</v>
      </c>
      <c r="B1331" s="21">
        <v>8.23</v>
      </c>
      <c r="C1331" s="238">
        <f t="shared" si="32"/>
        <v>35278</v>
      </c>
    </row>
    <row r="1332" spans="1:3" ht="16.2" x14ac:dyDescent="0.35">
      <c r="A1332" s="20">
        <v>35286</v>
      </c>
      <c r="B1332" s="21">
        <v>7.88</v>
      </c>
      <c r="C1332" s="238">
        <f t="shared" si="32"/>
        <v>35278</v>
      </c>
    </row>
    <row r="1333" spans="1:3" ht="16.2" x14ac:dyDescent="0.35">
      <c r="A1333" s="20">
        <v>35293</v>
      </c>
      <c r="B1333" s="21">
        <v>7.88</v>
      </c>
      <c r="C1333" s="238">
        <f t="shared" si="32"/>
        <v>35278</v>
      </c>
    </row>
    <row r="1334" spans="1:3" ht="16.2" x14ac:dyDescent="0.35">
      <c r="A1334" s="20">
        <v>35300</v>
      </c>
      <c r="B1334" s="21">
        <v>7.93</v>
      </c>
      <c r="C1334" s="238">
        <f t="shared" si="32"/>
        <v>35278</v>
      </c>
    </row>
    <row r="1335" spans="1:3" ht="16.2" x14ac:dyDescent="0.35">
      <c r="A1335" s="20">
        <v>35307</v>
      </c>
      <c r="B1335" s="21">
        <v>8.09</v>
      </c>
      <c r="C1335" s="238">
        <f t="shared" si="32"/>
        <v>35278</v>
      </c>
    </row>
    <row r="1336" spans="1:3" ht="16.2" x14ac:dyDescent="0.35">
      <c r="A1336" s="20">
        <v>35314</v>
      </c>
      <c r="B1336" s="21">
        <v>8.34</v>
      </c>
      <c r="C1336" s="238">
        <f t="shared" si="32"/>
        <v>35309</v>
      </c>
    </row>
    <row r="1337" spans="1:3" ht="16.2" x14ac:dyDescent="0.35">
      <c r="A1337" s="20">
        <v>35321</v>
      </c>
      <c r="B1337" s="21">
        <v>8.2799999999999994</v>
      </c>
      <c r="C1337" s="238">
        <f t="shared" si="32"/>
        <v>35309</v>
      </c>
    </row>
    <row r="1338" spans="1:3" ht="16.2" x14ac:dyDescent="0.35">
      <c r="A1338" s="20">
        <v>35328</v>
      </c>
      <c r="B1338" s="21">
        <v>8.14</v>
      </c>
      <c r="C1338" s="238">
        <f t="shared" si="32"/>
        <v>35309</v>
      </c>
    </row>
    <row r="1339" spans="1:3" ht="16.2" x14ac:dyDescent="0.35">
      <c r="A1339" s="20">
        <v>35335</v>
      </c>
      <c r="B1339" s="21">
        <v>8.16</v>
      </c>
      <c r="C1339" s="238">
        <f t="shared" si="32"/>
        <v>35309</v>
      </c>
    </row>
    <row r="1340" spans="1:3" ht="16.2" x14ac:dyDescent="0.35">
      <c r="A1340" s="20">
        <v>35342</v>
      </c>
      <c r="B1340" s="21">
        <v>8.06</v>
      </c>
      <c r="C1340" s="238">
        <f t="shared" si="32"/>
        <v>35339</v>
      </c>
    </row>
    <row r="1341" spans="1:3" ht="16.2" x14ac:dyDescent="0.35">
      <c r="A1341" s="20">
        <v>35349</v>
      </c>
      <c r="B1341" s="21">
        <v>7.86</v>
      </c>
      <c r="C1341" s="238">
        <f t="shared" si="32"/>
        <v>35339</v>
      </c>
    </row>
    <row r="1342" spans="1:3" ht="16.2" x14ac:dyDescent="0.35">
      <c r="A1342" s="20">
        <v>35356</v>
      </c>
      <c r="B1342" s="21">
        <v>7.88</v>
      </c>
      <c r="C1342" s="238">
        <f t="shared" si="32"/>
        <v>35339</v>
      </c>
    </row>
    <row r="1343" spans="1:3" ht="16.2" x14ac:dyDescent="0.35">
      <c r="A1343" s="20">
        <v>35363</v>
      </c>
      <c r="B1343" s="21">
        <v>7.86</v>
      </c>
      <c r="C1343" s="238">
        <f t="shared" si="32"/>
        <v>35339</v>
      </c>
    </row>
    <row r="1344" spans="1:3" ht="16.2" x14ac:dyDescent="0.35">
      <c r="A1344" s="20">
        <v>35370</v>
      </c>
      <c r="B1344" s="21">
        <v>7.78</v>
      </c>
      <c r="C1344" s="238">
        <f t="shared" si="32"/>
        <v>35370</v>
      </c>
    </row>
    <row r="1345" spans="1:3" ht="16.2" x14ac:dyDescent="0.35">
      <c r="A1345" s="20">
        <v>35377</v>
      </c>
      <c r="B1345" s="21">
        <v>7.67</v>
      </c>
      <c r="C1345" s="238">
        <f t="shared" si="32"/>
        <v>35370</v>
      </c>
    </row>
    <row r="1346" spans="1:3" ht="16.2" x14ac:dyDescent="0.35">
      <c r="A1346" s="20">
        <v>35384</v>
      </c>
      <c r="B1346" s="21">
        <v>7.59</v>
      </c>
      <c r="C1346" s="238">
        <f t="shared" si="32"/>
        <v>35370</v>
      </c>
    </row>
    <row r="1347" spans="1:3" ht="16.2" x14ac:dyDescent="0.35">
      <c r="A1347" s="20">
        <v>35391</v>
      </c>
      <c r="B1347" s="21">
        <v>7.53</v>
      </c>
      <c r="C1347" s="238">
        <f t="shared" si="32"/>
        <v>35370</v>
      </c>
    </row>
    <row r="1348" spans="1:3" ht="16.2" x14ac:dyDescent="0.35">
      <c r="A1348" s="20">
        <v>35398</v>
      </c>
      <c r="B1348" s="21">
        <v>7.52</v>
      </c>
      <c r="C1348" s="238">
        <f t="shared" si="32"/>
        <v>35370</v>
      </c>
    </row>
    <row r="1349" spans="1:3" ht="16.2" x14ac:dyDescent="0.35">
      <c r="A1349" s="20">
        <v>35405</v>
      </c>
      <c r="B1349" s="21">
        <v>7.44</v>
      </c>
      <c r="C1349" s="238">
        <f t="shared" si="32"/>
        <v>35400</v>
      </c>
    </row>
    <row r="1350" spans="1:3" ht="16.2" x14ac:dyDescent="0.35">
      <c r="A1350" s="20">
        <v>35412</v>
      </c>
      <c r="B1350" s="21">
        <v>7.57</v>
      </c>
      <c r="C1350" s="238">
        <f t="shared" si="32"/>
        <v>35400</v>
      </c>
    </row>
    <row r="1351" spans="1:3" ht="16.2" x14ac:dyDescent="0.35">
      <c r="A1351" s="20">
        <v>35419</v>
      </c>
      <c r="B1351" s="21">
        <v>7.74</v>
      </c>
      <c r="C1351" s="238">
        <f t="shared" si="32"/>
        <v>35400</v>
      </c>
    </row>
    <row r="1352" spans="1:3" ht="16.2" x14ac:dyDescent="0.35">
      <c r="A1352" s="20">
        <v>35426</v>
      </c>
      <c r="B1352" s="21">
        <v>7.64</v>
      </c>
      <c r="C1352" s="238">
        <f t="shared" si="32"/>
        <v>35400</v>
      </c>
    </row>
    <row r="1353" spans="1:3" ht="16.2" x14ac:dyDescent="0.35">
      <c r="A1353" s="20">
        <v>35433</v>
      </c>
      <c r="B1353" s="21">
        <v>7.67</v>
      </c>
      <c r="C1353" s="238">
        <f t="shared" si="32"/>
        <v>35431</v>
      </c>
    </row>
    <row r="1354" spans="1:3" ht="16.2" x14ac:dyDescent="0.35">
      <c r="A1354" s="20">
        <v>35440</v>
      </c>
      <c r="B1354" s="21">
        <v>7.85</v>
      </c>
      <c r="C1354" s="238">
        <f t="shared" si="32"/>
        <v>35431</v>
      </c>
    </row>
    <row r="1355" spans="1:3" ht="16.2" x14ac:dyDescent="0.35">
      <c r="A1355" s="20">
        <v>35447</v>
      </c>
      <c r="B1355" s="21">
        <v>7.87</v>
      </c>
      <c r="C1355" s="238">
        <f t="shared" si="32"/>
        <v>35431</v>
      </c>
    </row>
    <row r="1356" spans="1:3" ht="16.2" x14ac:dyDescent="0.35">
      <c r="A1356" s="20">
        <v>35454</v>
      </c>
      <c r="B1356" s="21">
        <v>7.85</v>
      </c>
      <c r="C1356" s="238">
        <f t="shared" si="32"/>
        <v>35431</v>
      </c>
    </row>
    <row r="1357" spans="1:3" ht="16.2" x14ac:dyDescent="0.35">
      <c r="A1357" s="20">
        <v>35461</v>
      </c>
      <c r="B1357" s="21">
        <v>7.88</v>
      </c>
      <c r="C1357" s="238">
        <f t="shared" si="32"/>
        <v>35431</v>
      </c>
    </row>
    <row r="1358" spans="1:3" ht="16.2" x14ac:dyDescent="0.35">
      <c r="A1358" s="20">
        <v>35468</v>
      </c>
      <c r="B1358" s="21">
        <v>7.74</v>
      </c>
      <c r="C1358" s="238">
        <f t="shared" si="32"/>
        <v>35462</v>
      </c>
    </row>
    <row r="1359" spans="1:3" ht="16.2" x14ac:dyDescent="0.35">
      <c r="A1359" s="20">
        <v>35475</v>
      </c>
      <c r="B1359" s="21">
        <v>7.65</v>
      </c>
      <c r="C1359" s="238">
        <f t="shared" si="32"/>
        <v>35462</v>
      </c>
    </row>
    <row r="1360" spans="1:3" ht="16.2" x14ac:dyDescent="0.35">
      <c r="A1360" s="20">
        <v>35482</v>
      </c>
      <c r="B1360" s="21">
        <v>7.56</v>
      </c>
      <c r="C1360" s="238">
        <f t="shared" ref="C1360:C1423" si="33">EOMONTH(A1360,-1)+1</f>
        <v>35462</v>
      </c>
    </row>
    <row r="1361" spans="1:3" ht="16.2" x14ac:dyDescent="0.35">
      <c r="A1361" s="20">
        <v>35489</v>
      </c>
      <c r="B1361" s="21">
        <v>7.65</v>
      </c>
      <c r="C1361" s="238">
        <f t="shared" si="33"/>
        <v>35462</v>
      </c>
    </row>
    <row r="1362" spans="1:3" ht="16.2" x14ac:dyDescent="0.35">
      <c r="A1362" s="20">
        <v>35496</v>
      </c>
      <c r="B1362" s="21">
        <v>7.84</v>
      </c>
      <c r="C1362" s="238">
        <f t="shared" si="33"/>
        <v>35490</v>
      </c>
    </row>
    <row r="1363" spans="1:3" ht="16.2" x14ac:dyDescent="0.35">
      <c r="A1363" s="20">
        <v>35503</v>
      </c>
      <c r="B1363" s="21">
        <v>7.84</v>
      </c>
      <c r="C1363" s="238">
        <f t="shared" si="33"/>
        <v>35490</v>
      </c>
    </row>
    <row r="1364" spans="1:3" ht="16.2" x14ac:dyDescent="0.35">
      <c r="A1364" s="20">
        <v>35510</v>
      </c>
      <c r="B1364" s="21">
        <v>7.94</v>
      </c>
      <c r="C1364" s="238">
        <f t="shared" si="33"/>
        <v>35490</v>
      </c>
    </row>
    <row r="1365" spans="1:3" ht="16.2" x14ac:dyDescent="0.35">
      <c r="A1365" s="20">
        <v>35517</v>
      </c>
      <c r="B1365" s="21">
        <v>7.97</v>
      </c>
      <c r="C1365" s="238">
        <f t="shared" si="33"/>
        <v>35490</v>
      </c>
    </row>
    <row r="1366" spans="1:3" ht="16.2" x14ac:dyDescent="0.35">
      <c r="A1366" s="20">
        <v>35524</v>
      </c>
      <c r="B1366" s="21">
        <v>8.18</v>
      </c>
      <c r="C1366" s="238">
        <f t="shared" si="33"/>
        <v>35521</v>
      </c>
    </row>
    <row r="1367" spans="1:3" ht="16.2" x14ac:dyDescent="0.35">
      <c r="A1367" s="20">
        <v>35531</v>
      </c>
      <c r="B1367" s="21">
        <v>8.15</v>
      </c>
      <c r="C1367" s="238">
        <f t="shared" si="33"/>
        <v>35521</v>
      </c>
    </row>
    <row r="1368" spans="1:3" ht="16.2" x14ac:dyDescent="0.35">
      <c r="A1368" s="20">
        <v>35538</v>
      </c>
      <c r="B1368" s="21">
        <v>8.16</v>
      </c>
      <c r="C1368" s="238">
        <f t="shared" si="33"/>
        <v>35521</v>
      </c>
    </row>
    <row r="1369" spans="1:3" ht="16.2" x14ac:dyDescent="0.35">
      <c r="A1369" s="20">
        <v>35545</v>
      </c>
      <c r="B1369" s="21">
        <v>8.08</v>
      </c>
      <c r="C1369" s="238">
        <f t="shared" si="33"/>
        <v>35521</v>
      </c>
    </row>
    <row r="1370" spans="1:3" ht="16.2" x14ac:dyDescent="0.35">
      <c r="A1370" s="20">
        <v>35552</v>
      </c>
      <c r="B1370" s="21">
        <v>8.01</v>
      </c>
      <c r="C1370" s="238">
        <f t="shared" si="33"/>
        <v>35551</v>
      </c>
    </row>
    <row r="1371" spans="1:3" ht="16.2" x14ac:dyDescent="0.35">
      <c r="A1371" s="20">
        <v>35559</v>
      </c>
      <c r="B1371" s="21">
        <v>7.94</v>
      </c>
      <c r="C1371" s="238">
        <f t="shared" si="33"/>
        <v>35551</v>
      </c>
    </row>
    <row r="1372" spans="1:3" ht="16.2" x14ac:dyDescent="0.35">
      <c r="A1372" s="20">
        <v>35566</v>
      </c>
      <c r="B1372" s="21">
        <v>7.91</v>
      </c>
      <c r="C1372" s="238">
        <f t="shared" si="33"/>
        <v>35551</v>
      </c>
    </row>
    <row r="1373" spans="1:3" ht="16.2" x14ac:dyDescent="0.35">
      <c r="A1373" s="20">
        <v>35573</v>
      </c>
      <c r="B1373" s="21">
        <v>7.92</v>
      </c>
      <c r="C1373" s="238">
        <f t="shared" si="33"/>
        <v>35551</v>
      </c>
    </row>
    <row r="1374" spans="1:3" ht="16.2" x14ac:dyDescent="0.35">
      <c r="A1374" s="20">
        <v>35580</v>
      </c>
      <c r="B1374" s="21">
        <v>7.94</v>
      </c>
      <c r="C1374" s="238">
        <f t="shared" si="33"/>
        <v>35551</v>
      </c>
    </row>
    <row r="1375" spans="1:3" ht="16.2" x14ac:dyDescent="0.35">
      <c r="A1375" s="20">
        <v>35587</v>
      </c>
      <c r="B1375" s="21">
        <v>7.85</v>
      </c>
      <c r="C1375" s="238">
        <f t="shared" si="33"/>
        <v>35582</v>
      </c>
    </row>
    <row r="1376" spans="1:3" ht="16.2" x14ac:dyDescent="0.35">
      <c r="A1376" s="20">
        <v>35594</v>
      </c>
      <c r="B1376" s="21">
        <v>7.72</v>
      </c>
      <c r="C1376" s="238">
        <f t="shared" si="33"/>
        <v>35582</v>
      </c>
    </row>
    <row r="1377" spans="1:3" ht="16.2" x14ac:dyDescent="0.35">
      <c r="A1377" s="20">
        <v>35601</v>
      </c>
      <c r="B1377" s="21">
        <v>7.61</v>
      </c>
      <c r="C1377" s="238">
        <f t="shared" si="33"/>
        <v>35582</v>
      </c>
    </row>
    <row r="1378" spans="1:3" ht="16.2" x14ac:dyDescent="0.35">
      <c r="A1378" s="20">
        <v>35608</v>
      </c>
      <c r="B1378" s="21">
        <v>7.58</v>
      </c>
      <c r="C1378" s="238">
        <f t="shared" si="33"/>
        <v>35582</v>
      </c>
    </row>
    <row r="1379" spans="1:3" ht="16.2" x14ac:dyDescent="0.35">
      <c r="A1379" s="20">
        <v>35615</v>
      </c>
      <c r="B1379" s="21">
        <v>7.62</v>
      </c>
      <c r="C1379" s="238">
        <f t="shared" si="33"/>
        <v>35612</v>
      </c>
    </row>
    <row r="1380" spans="1:3" ht="16.2" x14ac:dyDescent="0.35">
      <c r="A1380" s="20">
        <v>35622</v>
      </c>
      <c r="B1380" s="21">
        <v>7.47</v>
      </c>
      <c r="C1380" s="238">
        <f t="shared" si="33"/>
        <v>35612</v>
      </c>
    </row>
    <row r="1381" spans="1:3" ht="16.2" x14ac:dyDescent="0.35">
      <c r="A1381" s="20">
        <v>35629</v>
      </c>
      <c r="B1381" s="21">
        <v>7.47</v>
      </c>
      <c r="C1381" s="238">
        <f t="shared" si="33"/>
        <v>35612</v>
      </c>
    </row>
    <row r="1382" spans="1:3" ht="16.2" x14ac:dyDescent="0.35">
      <c r="A1382" s="20">
        <v>35636</v>
      </c>
      <c r="B1382" s="21">
        <v>7.43</v>
      </c>
      <c r="C1382" s="238">
        <f t="shared" si="33"/>
        <v>35612</v>
      </c>
    </row>
    <row r="1383" spans="1:3" ht="16.2" x14ac:dyDescent="0.35">
      <c r="A1383" s="20">
        <v>35643</v>
      </c>
      <c r="B1383" s="21">
        <v>7.36</v>
      </c>
      <c r="C1383" s="238">
        <f t="shared" si="33"/>
        <v>35643</v>
      </c>
    </row>
    <row r="1384" spans="1:3" ht="16.2" x14ac:dyDescent="0.35">
      <c r="A1384" s="20">
        <v>35650</v>
      </c>
      <c r="B1384" s="21">
        <v>7.46</v>
      </c>
      <c r="C1384" s="238">
        <f t="shared" si="33"/>
        <v>35643</v>
      </c>
    </row>
    <row r="1385" spans="1:3" ht="16.2" x14ac:dyDescent="0.35">
      <c r="A1385" s="20">
        <v>35657</v>
      </c>
      <c r="B1385" s="21">
        <v>7.54</v>
      </c>
      <c r="C1385" s="238">
        <f t="shared" si="33"/>
        <v>35643</v>
      </c>
    </row>
    <row r="1386" spans="1:3" ht="16.2" x14ac:dyDescent="0.35">
      <c r="A1386" s="20">
        <v>35664</v>
      </c>
      <c r="B1386" s="21">
        <v>7.46</v>
      </c>
      <c r="C1386" s="238">
        <f t="shared" si="33"/>
        <v>35643</v>
      </c>
    </row>
    <row r="1387" spans="1:3" ht="16.2" x14ac:dyDescent="0.35">
      <c r="A1387" s="20">
        <v>35671</v>
      </c>
      <c r="B1387" s="21">
        <v>7.58</v>
      </c>
      <c r="C1387" s="238">
        <f t="shared" si="33"/>
        <v>35643</v>
      </c>
    </row>
    <row r="1388" spans="1:3" ht="16.2" x14ac:dyDescent="0.35">
      <c r="A1388" s="20">
        <v>35678</v>
      </c>
      <c r="B1388" s="21">
        <v>7.53</v>
      </c>
      <c r="C1388" s="238">
        <f t="shared" si="33"/>
        <v>35674</v>
      </c>
    </row>
    <row r="1389" spans="1:3" ht="16.2" x14ac:dyDescent="0.35">
      <c r="A1389" s="20">
        <v>35685</v>
      </c>
      <c r="B1389" s="21">
        <v>7.53</v>
      </c>
      <c r="C1389" s="238">
        <f t="shared" si="33"/>
        <v>35674</v>
      </c>
    </row>
    <row r="1390" spans="1:3" ht="16.2" x14ac:dyDescent="0.35">
      <c r="A1390" s="20">
        <v>35692</v>
      </c>
      <c r="B1390" s="21">
        <v>7.38</v>
      </c>
      <c r="C1390" s="238">
        <f t="shared" si="33"/>
        <v>35674</v>
      </c>
    </row>
    <row r="1391" spans="1:3" ht="16.2" x14ac:dyDescent="0.35">
      <c r="A1391" s="20">
        <v>35699</v>
      </c>
      <c r="B1391" s="21">
        <v>7.28</v>
      </c>
      <c r="C1391" s="238">
        <f t="shared" si="33"/>
        <v>35674</v>
      </c>
    </row>
    <row r="1392" spans="1:3" ht="16.2" x14ac:dyDescent="0.35">
      <c r="A1392" s="20">
        <v>35706</v>
      </c>
      <c r="B1392" s="21">
        <v>7.31</v>
      </c>
      <c r="C1392" s="238">
        <f t="shared" si="33"/>
        <v>35704</v>
      </c>
    </row>
    <row r="1393" spans="1:3" ht="16.2" x14ac:dyDescent="0.35">
      <c r="A1393" s="20">
        <v>35713</v>
      </c>
      <c r="B1393" s="21">
        <v>7.26</v>
      </c>
      <c r="C1393" s="238">
        <f t="shared" si="33"/>
        <v>35704</v>
      </c>
    </row>
    <row r="1394" spans="1:3" ht="16.2" x14ac:dyDescent="0.35">
      <c r="A1394" s="20">
        <v>35720</v>
      </c>
      <c r="B1394" s="21">
        <v>7.34</v>
      </c>
      <c r="C1394" s="238">
        <f t="shared" si="33"/>
        <v>35704</v>
      </c>
    </row>
    <row r="1395" spans="1:3" ht="16.2" x14ac:dyDescent="0.35">
      <c r="A1395" s="20">
        <v>35727</v>
      </c>
      <c r="B1395" s="21">
        <v>7.35</v>
      </c>
      <c r="C1395" s="238">
        <f t="shared" si="33"/>
        <v>35704</v>
      </c>
    </row>
    <row r="1396" spans="1:3" ht="16.2" x14ac:dyDescent="0.35">
      <c r="A1396" s="20">
        <v>35734</v>
      </c>
      <c r="B1396" s="21">
        <v>7.21</v>
      </c>
      <c r="C1396" s="238">
        <f t="shared" si="33"/>
        <v>35704</v>
      </c>
    </row>
    <row r="1397" spans="1:3" ht="16.2" x14ac:dyDescent="0.35">
      <c r="A1397" s="20">
        <v>35741</v>
      </c>
      <c r="B1397" s="21">
        <v>7.24</v>
      </c>
      <c r="C1397" s="238">
        <f t="shared" si="33"/>
        <v>35735</v>
      </c>
    </row>
    <row r="1398" spans="1:3" ht="16.2" x14ac:dyDescent="0.35">
      <c r="A1398" s="20">
        <v>35748</v>
      </c>
      <c r="B1398" s="21">
        <v>7.23</v>
      </c>
      <c r="C1398" s="238">
        <f t="shared" si="33"/>
        <v>35735</v>
      </c>
    </row>
    <row r="1399" spans="1:3" ht="16.2" x14ac:dyDescent="0.35">
      <c r="A1399" s="20">
        <v>35755</v>
      </c>
      <c r="B1399" s="21">
        <v>7.18</v>
      </c>
      <c r="C1399" s="238">
        <f t="shared" si="33"/>
        <v>35735</v>
      </c>
    </row>
    <row r="1400" spans="1:3" ht="16.2" x14ac:dyDescent="0.35">
      <c r="A1400" s="20">
        <v>35762</v>
      </c>
      <c r="B1400" s="21">
        <v>7.17</v>
      </c>
      <c r="C1400" s="238">
        <f t="shared" si="33"/>
        <v>35735</v>
      </c>
    </row>
    <row r="1401" spans="1:3" ht="16.2" x14ac:dyDescent="0.35">
      <c r="A1401" s="20">
        <v>35769</v>
      </c>
      <c r="B1401" s="21">
        <v>7.15</v>
      </c>
      <c r="C1401" s="238">
        <f t="shared" si="33"/>
        <v>35765</v>
      </c>
    </row>
    <row r="1402" spans="1:3" ht="16.2" x14ac:dyDescent="0.35">
      <c r="A1402" s="20">
        <v>35776</v>
      </c>
      <c r="B1402" s="21">
        <v>7.17</v>
      </c>
      <c r="C1402" s="238">
        <f t="shared" si="33"/>
        <v>35765</v>
      </c>
    </row>
    <row r="1403" spans="1:3" ht="16.2" x14ac:dyDescent="0.35">
      <c r="A1403" s="20">
        <v>35783</v>
      </c>
      <c r="B1403" s="21">
        <v>7.07</v>
      </c>
      <c r="C1403" s="238">
        <f t="shared" si="33"/>
        <v>35765</v>
      </c>
    </row>
    <row r="1404" spans="1:3" ht="16.2" x14ac:dyDescent="0.35">
      <c r="A1404" s="20">
        <v>35790</v>
      </c>
      <c r="B1404" s="21">
        <v>6.99</v>
      </c>
      <c r="C1404" s="238">
        <f t="shared" si="33"/>
        <v>35765</v>
      </c>
    </row>
    <row r="1405" spans="1:3" ht="16.2" x14ac:dyDescent="0.35">
      <c r="A1405" s="20">
        <v>35797</v>
      </c>
      <c r="B1405" s="21">
        <v>7.03</v>
      </c>
      <c r="C1405" s="238">
        <f t="shared" si="33"/>
        <v>35796</v>
      </c>
    </row>
    <row r="1406" spans="1:3" ht="16.2" x14ac:dyDescent="0.35">
      <c r="A1406" s="20">
        <v>35804</v>
      </c>
      <c r="B1406" s="21">
        <v>6.94</v>
      </c>
      <c r="C1406" s="238">
        <f t="shared" si="33"/>
        <v>35796</v>
      </c>
    </row>
    <row r="1407" spans="1:3" ht="16.2" x14ac:dyDescent="0.35">
      <c r="A1407" s="20">
        <v>35811</v>
      </c>
      <c r="B1407" s="21">
        <v>6.89</v>
      </c>
      <c r="C1407" s="238">
        <f t="shared" si="33"/>
        <v>35796</v>
      </c>
    </row>
    <row r="1408" spans="1:3" ht="16.2" x14ac:dyDescent="0.35">
      <c r="A1408" s="20">
        <v>35818</v>
      </c>
      <c r="B1408" s="21">
        <v>6.99</v>
      </c>
      <c r="C1408" s="238">
        <f t="shared" si="33"/>
        <v>35796</v>
      </c>
    </row>
    <row r="1409" spans="1:3" ht="16.2" x14ac:dyDescent="0.35">
      <c r="A1409" s="20">
        <v>35825</v>
      </c>
      <c r="B1409" s="21">
        <v>7.12</v>
      </c>
      <c r="C1409" s="238">
        <f t="shared" si="33"/>
        <v>35796</v>
      </c>
    </row>
    <row r="1410" spans="1:3" ht="16.2" x14ac:dyDescent="0.35">
      <c r="A1410" s="20">
        <v>35832</v>
      </c>
      <c r="B1410" s="21">
        <v>7.03</v>
      </c>
      <c r="C1410" s="238">
        <f t="shared" si="33"/>
        <v>35827</v>
      </c>
    </row>
    <row r="1411" spans="1:3" ht="16.2" x14ac:dyDescent="0.35">
      <c r="A1411" s="20">
        <v>35839</v>
      </c>
      <c r="B1411" s="21">
        <v>7.06</v>
      </c>
      <c r="C1411" s="238">
        <f t="shared" si="33"/>
        <v>35827</v>
      </c>
    </row>
    <row r="1412" spans="1:3" ht="16.2" x14ac:dyDescent="0.35">
      <c r="A1412" s="20">
        <v>35846</v>
      </c>
      <c r="B1412" s="21">
        <v>6.99</v>
      </c>
      <c r="C1412" s="238">
        <f t="shared" si="33"/>
        <v>35827</v>
      </c>
    </row>
    <row r="1413" spans="1:3" ht="16.2" x14ac:dyDescent="0.35">
      <c r="A1413" s="20">
        <v>35854</v>
      </c>
      <c r="B1413" s="21">
        <v>7.09</v>
      </c>
      <c r="C1413" s="238">
        <f t="shared" si="33"/>
        <v>35827</v>
      </c>
    </row>
    <row r="1414" spans="1:3" ht="16.2" x14ac:dyDescent="0.35">
      <c r="A1414" s="20">
        <v>35860</v>
      </c>
      <c r="B1414" s="21">
        <v>7.19</v>
      </c>
      <c r="C1414" s="238">
        <f t="shared" si="33"/>
        <v>35855</v>
      </c>
    </row>
    <row r="1415" spans="1:3" ht="16.2" x14ac:dyDescent="0.35">
      <c r="A1415" s="20">
        <v>35867</v>
      </c>
      <c r="B1415" s="21">
        <v>7.16</v>
      </c>
      <c r="C1415" s="238">
        <f t="shared" si="33"/>
        <v>35855</v>
      </c>
    </row>
    <row r="1416" spans="1:3" ht="16.2" x14ac:dyDescent="0.35">
      <c r="A1416" s="20">
        <v>35874</v>
      </c>
      <c r="B1416" s="21">
        <v>7.08</v>
      </c>
      <c r="C1416" s="238">
        <f t="shared" si="33"/>
        <v>35855</v>
      </c>
    </row>
    <row r="1417" spans="1:3" ht="16.2" x14ac:dyDescent="0.35">
      <c r="A1417" s="20">
        <v>35881</v>
      </c>
      <c r="B1417" s="21">
        <v>7.08</v>
      </c>
      <c r="C1417" s="238">
        <f t="shared" si="33"/>
        <v>35855</v>
      </c>
    </row>
    <row r="1418" spans="1:3" ht="16.2" x14ac:dyDescent="0.35">
      <c r="A1418" s="20">
        <v>35888</v>
      </c>
      <c r="B1418" s="21">
        <v>7.15</v>
      </c>
      <c r="C1418" s="238">
        <f t="shared" si="33"/>
        <v>35886</v>
      </c>
    </row>
    <row r="1419" spans="1:3" ht="16.2" x14ac:dyDescent="0.35">
      <c r="A1419" s="20">
        <v>35895</v>
      </c>
      <c r="B1419" s="21">
        <v>7.09</v>
      </c>
      <c r="C1419" s="238">
        <f t="shared" si="33"/>
        <v>35886</v>
      </c>
    </row>
    <row r="1420" spans="1:3" ht="16.2" x14ac:dyDescent="0.35">
      <c r="A1420" s="20">
        <v>35902</v>
      </c>
      <c r="B1420" s="21">
        <v>7.17</v>
      </c>
      <c r="C1420" s="238">
        <f t="shared" si="33"/>
        <v>35886</v>
      </c>
    </row>
    <row r="1421" spans="1:3" ht="16.2" x14ac:dyDescent="0.35">
      <c r="A1421" s="20">
        <v>35909</v>
      </c>
      <c r="B1421" s="21">
        <v>7.15</v>
      </c>
      <c r="C1421" s="238">
        <f t="shared" si="33"/>
        <v>35886</v>
      </c>
    </row>
    <row r="1422" spans="1:3" ht="16.2" x14ac:dyDescent="0.35">
      <c r="A1422" s="20">
        <v>35916</v>
      </c>
      <c r="B1422" s="21">
        <v>7.22</v>
      </c>
      <c r="C1422" s="238">
        <f t="shared" si="33"/>
        <v>35916</v>
      </c>
    </row>
    <row r="1423" spans="1:3" ht="16.2" x14ac:dyDescent="0.35">
      <c r="A1423" s="20">
        <v>35923</v>
      </c>
      <c r="B1423" s="21">
        <v>7.14</v>
      </c>
      <c r="C1423" s="238">
        <f t="shared" si="33"/>
        <v>35916</v>
      </c>
    </row>
    <row r="1424" spans="1:3" ht="16.2" x14ac:dyDescent="0.35">
      <c r="A1424" s="20">
        <v>35930</v>
      </c>
      <c r="B1424" s="21">
        <v>7.19</v>
      </c>
      <c r="C1424" s="238">
        <f t="shared" ref="C1424:C1487" si="34">EOMONTH(A1424,-1)+1</f>
        <v>35916</v>
      </c>
    </row>
    <row r="1425" spans="1:3" ht="16.2" x14ac:dyDescent="0.35">
      <c r="A1425" s="20">
        <v>35937</v>
      </c>
      <c r="B1425" s="21">
        <v>7.1</v>
      </c>
      <c r="C1425" s="238">
        <f t="shared" si="34"/>
        <v>35916</v>
      </c>
    </row>
    <row r="1426" spans="1:3" ht="16.2" x14ac:dyDescent="0.35">
      <c r="A1426" s="20">
        <v>35944</v>
      </c>
      <c r="B1426" s="21">
        <v>7.07</v>
      </c>
      <c r="C1426" s="238">
        <f t="shared" si="34"/>
        <v>35916</v>
      </c>
    </row>
    <row r="1427" spans="1:3" ht="16.2" x14ac:dyDescent="0.35">
      <c r="A1427" s="20">
        <v>35951</v>
      </c>
      <c r="B1427" s="21">
        <v>7.05</v>
      </c>
      <c r="C1427" s="238">
        <f t="shared" si="34"/>
        <v>35947</v>
      </c>
    </row>
    <row r="1428" spans="1:3" ht="16.2" x14ac:dyDescent="0.35">
      <c r="A1428" s="20">
        <v>35958</v>
      </c>
      <c r="B1428" s="21">
        <v>7.04</v>
      </c>
      <c r="C1428" s="238">
        <f t="shared" si="34"/>
        <v>35947</v>
      </c>
    </row>
    <row r="1429" spans="1:3" ht="16.2" x14ac:dyDescent="0.35">
      <c r="A1429" s="20">
        <v>35965</v>
      </c>
      <c r="B1429" s="21">
        <v>6.94</v>
      </c>
      <c r="C1429" s="238">
        <f t="shared" si="34"/>
        <v>35947</v>
      </c>
    </row>
    <row r="1430" spans="1:3" ht="16.2" x14ac:dyDescent="0.35">
      <c r="A1430" s="20">
        <v>35972</v>
      </c>
      <c r="B1430" s="21">
        <v>6.96</v>
      </c>
      <c r="C1430" s="238">
        <f t="shared" si="34"/>
        <v>35947</v>
      </c>
    </row>
    <row r="1431" spans="1:3" ht="16.2" x14ac:dyDescent="0.35">
      <c r="A1431" s="20">
        <v>35979</v>
      </c>
      <c r="B1431" s="21">
        <v>6.98</v>
      </c>
      <c r="C1431" s="238">
        <f t="shared" si="34"/>
        <v>35977</v>
      </c>
    </row>
    <row r="1432" spans="1:3" ht="16.2" x14ac:dyDescent="0.35">
      <c r="A1432" s="20">
        <v>35986</v>
      </c>
      <c r="B1432" s="21">
        <v>6.91</v>
      </c>
      <c r="C1432" s="238">
        <f t="shared" si="34"/>
        <v>35977</v>
      </c>
    </row>
    <row r="1433" spans="1:3" ht="16.2" x14ac:dyDescent="0.35">
      <c r="A1433" s="20">
        <v>35993</v>
      </c>
      <c r="B1433" s="21">
        <v>6.94</v>
      </c>
      <c r="C1433" s="238">
        <f t="shared" si="34"/>
        <v>35977</v>
      </c>
    </row>
    <row r="1434" spans="1:3" ht="16.2" x14ac:dyDescent="0.35">
      <c r="A1434" s="20">
        <v>36000</v>
      </c>
      <c r="B1434" s="21">
        <v>6.96</v>
      </c>
      <c r="C1434" s="238">
        <f t="shared" si="34"/>
        <v>35977</v>
      </c>
    </row>
    <row r="1435" spans="1:3" ht="16.2" x14ac:dyDescent="0.35">
      <c r="A1435" s="20">
        <v>36007</v>
      </c>
      <c r="B1435" s="21">
        <v>6.97</v>
      </c>
      <c r="C1435" s="238">
        <f t="shared" si="34"/>
        <v>35977</v>
      </c>
    </row>
    <row r="1436" spans="1:3" ht="16.2" x14ac:dyDescent="0.35">
      <c r="A1436" s="20">
        <v>36014</v>
      </c>
      <c r="B1436" s="21">
        <v>6.94</v>
      </c>
      <c r="C1436" s="238">
        <f t="shared" si="34"/>
        <v>36008</v>
      </c>
    </row>
    <row r="1437" spans="1:3" ht="16.2" x14ac:dyDescent="0.35">
      <c r="A1437" s="20">
        <v>36021</v>
      </c>
      <c r="B1437" s="21">
        <v>6.91</v>
      </c>
      <c r="C1437" s="238">
        <f t="shared" si="34"/>
        <v>36008</v>
      </c>
    </row>
    <row r="1438" spans="1:3" ht="16.2" x14ac:dyDescent="0.35">
      <c r="A1438" s="20">
        <v>36028</v>
      </c>
      <c r="B1438" s="21">
        <v>6.92</v>
      </c>
      <c r="C1438" s="238">
        <f t="shared" si="34"/>
        <v>36008</v>
      </c>
    </row>
    <row r="1439" spans="1:3" ht="16.2" x14ac:dyDescent="0.35">
      <c r="A1439" s="20">
        <v>36035</v>
      </c>
      <c r="B1439" s="21">
        <v>6.92</v>
      </c>
      <c r="C1439" s="238">
        <f t="shared" si="34"/>
        <v>36008</v>
      </c>
    </row>
    <row r="1440" spans="1:3" ht="16.2" x14ac:dyDescent="0.35">
      <c r="A1440" s="20">
        <v>36042</v>
      </c>
      <c r="B1440" s="21">
        <v>6.82</v>
      </c>
      <c r="C1440" s="238">
        <f t="shared" si="34"/>
        <v>36039</v>
      </c>
    </row>
    <row r="1441" spans="1:3" ht="16.2" x14ac:dyDescent="0.35">
      <c r="A1441" s="20">
        <v>36049</v>
      </c>
      <c r="B1441" s="21">
        <v>6.77</v>
      </c>
      <c r="C1441" s="238">
        <f t="shared" si="34"/>
        <v>36039</v>
      </c>
    </row>
    <row r="1442" spans="1:3" ht="16.2" x14ac:dyDescent="0.35">
      <c r="A1442" s="20">
        <v>36056</v>
      </c>
      <c r="B1442" s="21">
        <v>6.66</v>
      </c>
      <c r="C1442" s="238">
        <f t="shared" si="34"/>
        <v>36039</v>
      </c>
    </row>
    <row r="1443" spans="1:3" ht="16.2" x14ac:dyDescent="0.35">
      <c r="A1443" s="20">
        <v>36063</v>
      </c>
      <c r="B1443" s="21">
        <v>6.64</v>
      </c>
      <c r="C1443" s="238">
        <f t="shared" si="34"/>
        <v>36039</v>
      </c>
    </row>
    <row r="1444" spans="1:3" ht="16.2" x14ac:dyDescent="0.35">
      <c r="A1444" s="20">
        <v>36070</v>
      </c>
      <c r="B1444" s="21">
        <v>6.6</v>
      </c>
      <c r="C1444" s="238">
        <f t="shared" si="34"/>
        <v>36069</v>
      </c>
    </row>
    <row r="1445" spans="1:3" ht="16.2" x14ac:dyDescent="0.35">
      <c r="A1445" s="20">
        <v>36077</v>
      </c>
      <c r="B1445" s="21">
        <v>6.49</v>
      </c>
      <c r="C1445" s="238">
        <f t="shared" si="34"/>
        <v>36069</v>
      </c>
    </row>
    <row r="1446" spans="1:3" ht="16.2" x14ac:dyDescent="0.35">
      <c r="A1446" s="20">
        <v>36084</v>
      </c>
      <c r="B1446" s="21">
        <v>6.9</v>
      </c>
      <c r="C1446" s="238">
        <f t="shared" si="34"/>
        <v>36069</v>
      </c>
    </row>
    <row r="1447" spans="1:3" ht="16.2" x14ac:dyDescent="0.35">
      <c r="A1447" s="20">
        <v>36091</v>
      </c>
      <c r="B1447" s="21">
        <v>6.73</v>
      </c>
      <c r="C1447" s="238">
        <f t="shared" si="34"/>
        <v>36069</v>
      </c>
    </row>
    <row r="1448" spans="1:3" ht="16.2" x14ac:dyDescent="0.35">
      <c r="A1448" s="20">
        <v>36098</v>
      </c>
      <c r="B1448" s="21">
        <v>6.83</v>
      </c>
      <c r="C1448" s="238">
        <f t="shared" si="34"/>
        <v>36069</v>
      </c>
    </row>
    <row r="1449" spans="1:3" ht="16.2" x14ac:dyDescent="0.35">
      <c r="A1449" s="20">
        <v>36105</v>
      </c>
      <c r="B1449" s="21">
        <v>6.89</v>
      </c>
      <c r="C1449" s="238">
        <f t="shared" si="34"/>
        <v>36100</v>
      </c>
    </row>
    <row r="1450" spans="1:3" ht="16.2" x14ac:dyDescent="0.35">
      <c r="A1450" s="20">
        <v>36112</v>
      </c>
      <c r="B1450" s="21">
        <v>6.93</v>
      </c>
      <c r="C1450" s="238">
        <f t="shared" si="34"/>
        <v>36100</v>
      </c>
    </row>
    <row r="1451" spans="1:3" ht="16.2" x14ac:dyDescent="0.35">
      <c r="A1451" s="20">
        <v>36119</v>
      </c>
      <c r="B1451" s="21">
        <v>6.86</v>
      </c>
      <c r="C1451" s="238">
        <f t="shared" si="34"/>
        <v>36100</v>
      </c>
    </row>
    <row r="1452" spans="1:3" ht="16.2" x14ac:dyDescent="0.35">
      <c r="A1452" s="20">
        <v>36126</v>
      </c>
      <c r="B1452" s="21">
        <v>6.78</v>
      </c>
      <c r="C1452" s="238">
        <f t="shared" si="34"/>
        <v>36100</v>
      </c>
    </row>
    <row r="1453" spans="1:3" ht="16.2" x14ac:dyDescent="0.35">
      <c r="A1453" s="20">
        <v>36133</v>
      </c>
      <c r="B1453" s="21">
        <v>6.71</v>
      </c>
      <c r="C1453" s="238">
        <f t="shared" si="34"/>
        <v>36130</v>
      </c>
    </row>
    <row r="1454" spans="1:3" ht="16.2" x14ac:dyDescent="0.35">
      <c r="A1454" s="20">
        <v>36140</v>
      </c>
      <c r="B1454" s="21">
        <v>6.69</v>
      </c>
      <c r="C1454" s="238">
        <f t="shared" si="34"/>
        <v>36130</v>
      </c>
    </row>
    <row r="1455" spans="1:3" ht="16.2" x14ac:dyDescent="0.35">
      <c r="A1455" s="20">
        <v>36147</v>
      </c>
      <c r="B1455" s="21">
        <v>6.69</v>
      </c>
      <c r="C1455" s="238">
        <f t="shared" si="34"/>
        <v>36130</v>
      </c>
    </row>
    <row r="1456" spans="1:3" ht="16.2" x14ac:dyDescent="0.35">
      <c r="A1456" s="20">
        <v>36154</v>
      </c>
      <c r="B1456" s="21">
        <v>6.77</v>
      </c>
      <c r="C1456" s="238">
        <f t="shared" si="34"/>
        <v>36130</v>
      </c>
    </row>
    <row r="1457" spans="1:3" ht="16.2" x14ac:dyDescent="0.35">
      <c r="A1457" s="20">
        <v>36160</v>
      </c>
      <c r="B1457" s="21">
        <v>6.83</v>
      </c>
      <c r="C1457" s="238">
        <f t="shared" si="34"/>
        <v>36130</v>
      </c>
    </row>
    <row r="1458" spans="1:3" ht="16.2" x14ac:dyDescent="0.35">
      <c r="A1458" s="20">
        <v>36168</v>
      </c>
      <c r="B1458" s="21">
        <v>6.79</v>
      </c>
      <c r="C1458" s="238">
        <f t="shared" si="34"/>
        <v>36161</v>
      </c>
    </row>
    <row r="1459" spans="1:3" ht="16.2" x14ac:dyDescent="0.35">
      <c r="A1459" s="20">
        <v>36175</v>
      </c>
      <c r="B1459" s="21">
        <v>6.83</v>
      </c>
      <c r="C1459" s="238">
        <f t="shared" si="34"/>
        <v>36161</v>
      </c>
    </row>
    <row r="1460" spans="1:3" ht="16.2" x14ac:dyDescent="0.35">
      <c r="A1460" s="20">
        <v>36182</v>
      </c>
      <c r="B1460" s="21">
        <v>6.78</v>
      </c>
      <c r="C1460" s="238">
        <f t="shared" si="34"/>
        <v>36161</v>
      </c>
    </row>
    <row r="1461" spans="1:3" ht="16.2" x14ac:dyDescent="0.35">
      <c r="A1461" s="20">
        <v>36189</v>
      </c>
      <c r="B1461" s="21">
        <v>6.74</v>
      </c>
      <c r="C1461" s="238">
        <f t="shared" si="34"/>
        <v>36161</v>
      </c>
    </row>
    <row r="1462" spans="1:3" ht="16.2" x14ac:dyDescent="0.35">
      <c r="A1462" s="20">
        <v>36196</v>
      </c>
      <c r="B1462" s="21">
        <v>6.75</v>
      </c>
      <c r="C1462" s="238">
        <f t="shared" si="34"/>
        <v>36192</v>
      </c>
    </row>
    <row r="1463" spans="1:3" ht="16.2" x14ac:dyDescent="0.35">
      <c r="A1463" s="20">
        <v>36203</v>
      </c>
      <c r="B1463" s="21">
        <v>6.77</v>
      </c>
      <c r="C1463" s="238">
        <f t="shared" si="34"/>
        <v>36192</v>
      </c>
    </row>
    <row r="1464" spans="1:3" ht="16.2" x14ac:dyDescent="0.35">
      <c r="A1464" s="20">
        <v>36210</v>
      </c>
      <c r="B1464" s="21">
        <v>6.82</v>
      </c>
      <c r="C1464" s="238">
        <f t="shared" si="34"/>
        <v>36192</v>
      </c>
    </row>
    <row r="1465" spans="1:3" ht="16.2" x14ac:dyDescent="0.35">
      <c r="A1465" s="20">
        <v>36217</v>
      </c>
      <c r="B1465" s="21">
        <v>6.89</v>
      </c>
      <c r="C1465" s="238">
        <f t="shared" si="34"/>
        <v>36192</v>
      </c>
    </row>
    <row r="1466" spans="1:3" ht="16.2" x14ac:dyDescent="0.35">
      <c r="A1466" s="20">
        <v>36224</v>
      </c>
      <c r="B1466" s="21">
        <v>7.06</v>
      </c>
      <c r="C1466" s="238">
        <f t="shared" si="34"/>
        <v>36220</v>
      </c>
    </row>
    <row r="1467" spans="1:3" ht="16.2" x14ac:dyDescent="0.35">
      <c r="A1467" s="20">
        <v>36231</v>
      </c>
      <c r="B1467" s="21">
        <v>7.11</v>
      </c>
      <c r="C1467" s="238">
        <f t="shared" si="34"/>
        <v>36220</v>
      </c>
    </row>
    <row r="1468" spans="1:3" ht="16.2" x14ac:dyDescent="0.35">
      <c r="A1468" s="20">
        <v>36238</v>
      </c>
      <c r="B1468" s="21">
        <v>7.01</v>
      </c>
      <c r="C1468" s="238">
        <f t="shared" si="34"/>
        <v>36220</v>
      </c>
    </row>
    <row r="1469" spans="1:3" ht="16.2" x14ac:dyDescent="0.35">
      <c r="A1469" s="20">
        <v>36245</v>
      </c>
      <c r="B1469" s="21">
        <v>6.98</v>
      </c>
      <c r="C1469" s="238">
        <f t="shared" si="34"/>
        <v>36220</v>
      </c>
    </row>
    <row r="1470" spans="1:3" ht="16.2" x14ac:dyDescent="0.35">
      <c r="A1470" s="20">
        <v>36252</v>
      </c>
      <c r="B1470" s="21">
        <v>6.98</v>
      </c>
      <c r="C1470" s="238">
        <f t="shared" si="34"/>
        <v>36251</v>
      </c>
    </row>
    <row r="1471" spans="1:3" ht="16.2" x14ac:dyDescent="0.35">
      <c r="A1471" s="20">
        <v>36259</v>
      </c>
      <c r="B1471" s="21">
        <v>6.92</v>
      </c>
      <c r="C1471" s="238">
        <f t="shared" si="34"/>
        <v>36251</v>
      </c>
    </row>
    <row r="1472" spans="1:3" ht="16.2" x14ac:dyDescent="0.35">
      <c r="A1472" s="20">
        <v>36266</v>
      </c>
      <c r="B1472" s="21">
        <v>6.87</v>
      </c>
      <c r="C1472" s="238">
        <f t="shared" si="34"/>
        <v>36251</v>
      </c>
    </row>
    <row r="1473" spans="1:3" ht="16.2" x14ac:dyDescent="0.35">
      <c r="A1473" s="20">
        <v>36273</v>
      </c>
      <c r="B1473" s="21">
        <v>6.88</v>
      </c>
      <c r="C1473" s="238">
        <f t="shared" si="34"/>
        <v>36251</v>
      </c>
    </row>
    <row r="1474" spans="1:3" ht="16.2" x14ac:dyDescent="0.35">
      <c r="A1474" s="20">
        <v>36280</v>
      </c>
      <c r="B1474" s="21">
        <v>6.93</v>
      </c>
      <c r="C1474" s="238">
        <f t="shared" si="34"/>
        <v>36251</v>
      </c>
    </row>
    <row r="1475" spans="1:3" ht="16.2" x14ac:dyDescent="0.35">
      <c r="A1475" s="20">
        <v>36287</v>
      </c>
      <c r="B1475" s="21">
        <v>7.02</v>
      </c>
      <c r="C1475" s="238">
        <f t="shared" si="34"/>
        <v>36281</v>
      </c>
    </row>
    <row r="1476" spans="1:3" ht="16.2" x14ac:dyDescent="0.35">
      <c r="A1476" s="20">
        <v>36294</v>
      </c>
      <c r="B1476" s="21">
        <v>7.1</v>
      </c>
      <c r="C1476" s="238">
        <f t="shared" si="34"/>
        <v>36281</v>
      </c>
    </row>
    <row r="1477" spans="1:3" ht="16.2" x14ac:dyDescent="0.35">
      <c r="A1477" s="20">
        <v>36301</v>
      </c>
      <c r="B1477" s="21">
        <v>7.23</v>
      </c>
      <c r="C1477" s="238">
        <f t="shared" si="34"/>
        <v>36281</v>
      </c>
    </row>
    <row r="1478" spans="1:3" ht="16.2" x14ac:dyDescent="0.35">
      <c r="A1478" s="20">
        <v>36308</v>
      </c>
      <c r="B1478" s="21">
        <v>7.23</v>
      </c>
      <c r="C1478" s="238">
        <f t="shared" si="34"/>
        <v>36281</v>
      </c>
    </row>
    <row r="1479" spans="1:3" ht="16.2" x14ac:dyDescent="0.35">
      <c r="A1479" s="20">
        <v>36315</v>
      </c>
      <c r="B1479" s="21">
        <v>7.41</v>
      </c>
      <c r="C1479" s="238">
        <f t="shared" si="34"/>
        <v>36312</v>
      </c>
    </row>
    <row r="1480" spans="1:3" ht="16.2" x14ac:dyDescent="0.35">
      <c r="A1480" s="20">
        <v>36322</v>
      </c>
      <c r="B1480" s="21">
        <v>7.51</v>
      </c>
      <c r="C1480" s="238">
        <f t="shared" si="34"/>
        <v>36312</v>
      </c>
    </row>
    <row r="1481" spans="1:3" ht="16.2" x14ac:dyDescent="0.35">
      <c r="A1481" s="20">
        <v>36329</v>
      </c>
      <c r="B1481" s="21">
        <v>7.65</v>
      </c>
      <c r="C1481" s="238">
        <f t="shared" si="34"/>
        <v>36312</v>
      </c>
    </row>
    <row r="1482" spans="1:3" ht="16.2" x14ac:dyDescent="0.35">
      <c r="A1482" s="20">
        <v>36336</v>
      </c>
      <c r="B1482" s="21">
        <v>7.63</v>
      </c>
      <c r="C1482" s="238">
        <f t="shared" si="34"/>
        <v>36312</v>
      </c>
    </row>
    <row r="1483" spans="1:3" ht="16.2" x14ac:dyDescent="0.35">
      <c r="A1483" s="20">
        <v>36343</v>
      </c>
      <c r="B1483" s="21">
        <v>7.71</v>
      </c>
      <c r="C1483" s="238">
        <f t="shared" si="34"/>
        <v>36342</v>
      </c>
    </row>
    <row r="1484" spans="1:3" ht="16.2" x14ac:dyDescent="0.35">
      <c r="A1484" s="20">
        <v>36350</v>
      </c>
      <c r="B1484" s="21">
        <v>7.65</v>
      </c>
      <c r="C1484" s="238">
        <f t="shared" si="34"/>
        <v>36342</v>
      </c>
    </row>
    <row r="1485" spans="1:3" ht="16.2" x14ac:dyDescent="0.35">
      <c r="A1485" s="20">
        <v>36357</v>
      </c>
      <c r="B1485" s="21">
        <v>7.58</v>
      </c>
      <c r="C1485" s="238">
        <f t="shared" si="34"/>
        <v>36342</v>
      </c>
    </row>
    <row r="1486" spans="1:3" ht="16.2" x14ac:dyDescent="0.35">
      <c r="A1486" s="20">
        <v>36364</v>
      </c>
      <c r="B1486" s="21">
        <v>7.52</v>
      </c>
      <c r="C1486" s="238">
        <f t="shared" si="34"/>
        <v>36342</v>
      </c>
    </row>
    <row r="1487" spans="1:3" ht="16.2" x14ac:dyDescent="0.35">
      <c r="A1487" s="20">
        <v>36371</v>
      </c>
      <c r="B1487" s="21">
        <v>7.7</v>
      </c>
      <c r="C1487" s="238">
        <f t="shared" si="34"/>
        <v>36342</v>
      </c>
    </row>
    <row r="1488" spans="1:3" ht="16.2" x14ac:dyDescent="0.35">
      <c r="A1488" s="20">
        <v>36378</v>
      </c>
      <c r="B1488" s="21">
        <v>7.89</v>
      </c>
      <c r="C1488" s="238">
        <f t="shared" ref="C1488:C1551" si="35">EOMONTH(A1488,-1)+1</f>
        <v>36373</v>
      </c>
    </row>
    <row r="1489" spans="1:3" ht="16.2" x14ac:dyDescent="0.35">
      <c r="A1489" s="20">
        <v>36385</v>
      </c>
      <c r="B1489" s="21">
        <v>8.15</v>
      </c>
      <c r="C1489" s="238">
        <f t="shared" si="35"/>
        <v>36373</v>
      </c>
    </row>
    <row r="1490" spans="1:3" ht="16.2" x14ac:dyDescent="0.35">
      <c r="A1490" s="20">
        <v>36392</v>
      </c>
      <c r="B1490" s="21">
        <v>7.93</v>
      </c>
      <c r="C1490" s="238">
        <f t="shared" si="35"/>
        <v>36373</v>
      </c>
    </row>
    <row r="1491" spans="1:3" ht="16.2" x14ac:dyDescent="0.35">
      <c r="A1491" s="20">
        <v>36399</v>
      </c>
      <c r="B1491" s="21">
        <v>7.8</v>
      </c>
      <c r="C1491" s="238">
        <f t="shared" si="35"/>
        <v>36373</v>
      </c>
    </row>
    <row r="1492" spans="1:3" ht="16.2" x14ac:dyDescent="0.35">
      <c r="A1492" s="20">
        <v>36406</v>
      </c>
      <c r="B1492" s="21">
        <v>7.83</v>
      </c>
      <c r="C1492" s="238">
        <f t="shared" si="35"/>
        <v>36404</v>
      </c>
    </row>
    <row r="1493" spans="1:3" ht="16.2" x14ac:dyDescent="0.35">
      <c r="A1493" s="20">
        <v>36413</v>
      </c>
      <c r="B1493" s="21">
        <v>7.88</v>
      </c>
      <c r="C1493" s="238">
        <f t="shared" si="35"/>
        <v>36404</v>
      </c>
    </row>
    <row r="1494" spans="1:3" ht="16.2" x14ac:dyDescent="0.35">
      <c r="A1494" s="20">
        <v>36420</v>
      </c>
      <c r="B1494" s="21">
        <v>7.82</v>
      </c>
      <c r="C1494" s="238">
        <f t="shared" si="35"/>
        <v>36404</v>
      </c>
    </row>
    <row r="1495" spans="1:3" ht="16.2" x14ac:dyDescent="0.35">
      <c r="A1495" s="20">
        <v>36427</v>
      </c>
      <c r="B1495" s="21">
        <v>7.76</v>
      </c>
      <c r="C1495" s="238">
        <f t="shared" si="35"/>
        <v>36404</v>
      </c>
    </row>
    <row r="1496" spans="1:3" ht="16.2" x14ac:dyDescent="0.35">
      <c r="A1496" s="20">
        <v>36434</v>
      </c>
      <c r="B1496" s="21">
        <v>7.7</v>
      </c>
      <c r="C1496" s="238">
        <f t="shared" si="35"/>
        <v>36434</v>
      </c>
    </row>
    <row r="1497" spans="1:3" ht="16.2" x14ac:dyDescent="0.35">
      <c r="A1497" s="20">
        <v>36441</v>
      </c>
      <c r="B1497" s="21">
        <v>7.82</v>
      </c>
      <c r="C1497" s="238">
        <f t="shared" si="35"/>
        <v>36434</v>
      </c>
    </row>
    <row r="1498" spans="1:3" ht="16.2" x14ac:dyDescent="0.35">
      <c r="A1498" s="20">
        <v>36448</v>
      </c>
      <c r="B1498" s="21">
        <v>7.85</v>
      </c>
      <c r="C1498" s="238">
        <f t="shared" si="35"/>
        <v>36434</v>
      </c>
    </row>
    <row r="1499" spans="1:3" ht="16.2" x14ac:dyDescent="0.35">
      <c r="A1499" s="20">
        <v>36455</v>
      </c>
      <c r="B1499" s="21">
        <v>7.93</v>
      </c>
      <c r="C1499" s="238">
        <f t="shared" si="35"/>
        <v>36434</v>
      </c>
    </row>
    <row r="1500" spans="1:3" ht="16.2" x14ac:dyDescent="0.35">
      <c r="A1500" s="20">
        <v>36462</v>
      </c>
      <c r="B1500" s="21">
        <v>7.96</v>
      </c>
      <c r="C1500" s="238">
        <f t="shared" si="35"/>
        <v>36434</v>
      </c>
    </row>
    <row r="1501" spans="1:3" ht="16.2" x14ac:dyDescent="0.35">
      <c r="A1501" s="20">
        <v>36469</v>
      </c>
      <c r="B1501" s="21">
        <v>7.84</v>
      </c>
      <c r="C1501" s="238">
        <f t="shared" si="35"/>
        <v>36465</v>
      </c>
    </row>
    <row r="1502" spans="1:3" ht="16.2" x14ac:dyDescent="0.35">
      <c r="A1502" s="20">
        <v>36476</v>
      </c>
      <c r="B1502" s="21">
        <v>7.67</v>
      </c>
      <c r="C1502" s="238">
        <f t="shared" si="35"/>
        <v>36465</v>
      </c>
    </row>
    <row r="1503" spans="1:3" ht="16.2" x14ac:dyDescent="0.35">
      <c r="A1503" s="20">
        <v>36483</v>
      </c>
      <c r="B1503" s="21">
        <v>7.69</v>
      </c>
      <c r="C1503" s="238">
        <f t="shared" si="35"/>
        <v>36465</v>
      </c>
    </row>
    <row r="1504" spans="1:3" ht="16.2" x14ac:dyDescent="0.35">
      <c r="A1504" s="20">
        <v>36490</v>
      </c>
      <c r="B1504" s="21">
        <v>7.75</v>
      </c>
      <c r="C1504" s="238">
        <f t="shared" si="35"/>
        <v>36465</v>
      </c>
    </row>
    <row r="1505" spans="1:3" ht="16.2" x14ac:dyDescent="0.35">
      <c r="A1505" s="20">
        <v>36497</v>
      </c>
      <c r="B1505" s="21">
        <v>7.84</v>
      </c>
      <c r="C1505" s="238">
        <f t="shared" si="35"/>
        <v>36495</v>
      </c>
    </row>
    <row r="1506" spans="1:3" ht="16.2" x14ac:dyDescent="0.35">
      <c r="A1506" s="20">
        <v>36504</v>
      </c>
      <c r="B1506" s="21">
        <v>7.84</v>
      </c>
      <c r="C1506" s="238">
        <f t="shared" si="35"/>
        <v>36495</v>
      </c>
    </row>
    <row r="1507" spans="1:3" ht="16.2" x14ac:dyDescent="0.35">
      <c r="A1507" s="20">
        <v>36511</v>
      </c>
      <c r="B1507" s="21">
        <v>7.86</v>
      </c>
      <c r="C1507" s="238">
        <f t="shared" si="35"/>
        <v>36495</v>
      </c>
    </row>
    <row r="1508" spans="1:3" ht="16.2" x14ac:dyDescent="0.35">
      <c r="A1508" s="20">
        <v>36518</v>
      </c>
      <c r="B1508" s="21">
        <v>7.96</v>
      </c>
      <c r="C1508" s="238">
        <f t="shared" si="35"/>
        <v>36495</v>
      </c>
    </row>
    <row r="1509" spans="1:3" ht="16.2" x14ac:dyDescent="0.35">
      <c r="A1509" s="20">
        <v>36525</v>
      </c>
      <c r="B1509" s="21">
        <v>8.06</v>
      </c>
      <c r="C1509" s="238">
        <f t="shared" si="35"/>
        <v>36495</v>
      </c>
    </row>
    <row r="1510" spans="1:3" ht="16.2" x14ac:dyDescent="0.35">
      <c r="A1510" s="20">
        <v>36532</v>
      </c>
      <c r="B1510" s="21">
        <v>8.15</v>
      </c>
      <c r="C1510" s="238">
        <f t="shared" si="35"/>
        <v>36526</v>
      </c>
    </row>
    <row r="1511" spans="1:3" ht="16.2" x14ac:dyDescent="0.35">
      <c r="A1511" s="20">
        <v>36539</v>
      </c>
      <c r="B1511" s="21">
        <v>8.18</v>
      </c>
      <c r="C1511" s="238">
        <f t="shared" si="35"/>
        <v>36526</v>
      </c>
    </row>
    <row r="1512" spans="1:3" ht="16.2" x14ac:dyDescent="0.35">
      <c r="A1512" s="20">
        <v>36546</v>
      </c>
      <c r="B1512" s="21">
        <v>8.26</v>
      </c>
      <c r="C1512" s="238">
        <f t="shared" si="35"/>
        <v>36526</v>
      </c>
    </row>
    <row r="1513" spans="1:3" ht="16.2" x14ac:dyDescent="0.35">
      <c r="A1513" s="20">
        <v>36553</v>
      </c>
      <c r="B1513" s="21">
        <v>8.25</v>
      </c>
      <c r="C1513" s="238">
        <f t="shared" si="35"/>
        <v>36526</v>
      </c>
    </row>
    <row r="1514" spans="1:3" ht="16.2" x14ac:dyDescent="0.35">
      <c r="A1514" s="20">
        <v>36560</v>
      </c>
      <c r="B1514" s="21">
        <v>8.25</v>
      </c>
      <c r="C1514" s="238">
        <f t="shared" si="35"/>
        <v>36557</v>
      </c>
    </row>
    <row r="1515" spans="1:3" ht="16.2" x14ac:dyDescent="0.35">
      <c r="A1515" s="20">
        <v>36567</v>
      </c>
      <c r="B1515" s="21">
        <v>8.36</v>
      </c>
      <c r="C1515" s="238">
        <f t="shared" si="35"/>
        <v>36557</v>
      </c>
    </row>
    <row r="1516" spans="1:3" ht="16.2" x14ac:dyDescent="0.35">
      <c r="A1516" s="20">
        <v>36574</v>
      </c>
      <c r="B1516" s="21">
        <v>8.3800000000000008</v>
      </c>
      <c r="C1516" s="238">
        <f t="shared" si="35"/>
        <v>36557</v>
      </c>
    </row>
    <row r="1517" spans="1:3" ht="16.2" x14ac:dyDescent="0.35">
      <c r="A1517" s="20">
        <v>36581</v>
      </c>
      <c r="B1517" s="21">
        <v>8.31</v>
      </c>
      <c r="C1517" s="238">
        <f t="shared" si="35"/>
        <v>36557</v>
      </c>
    </row>
    <row r="1518" spans="1:3" ht="16.2" x14ac:dyDescent="0.35">
      <c r="A1518" s="20">
        <v>36588</v>
      </c>
      <c r="B1518" s="21">
        <v>8.27</v>
      </c>
      <c r="C1518" s="238">
        <f t="shared" si="35"/>
        <v>36586</v>
      </c>
    </row>
    <row r="1519" spans="1:3" ht="16.2" x14ac:dyDescent="0.35">
      <c r="A1519" s="20">
        <v>36595</v>
      </c>
      <c r="B1519" s="21">
        <v>8.23</v>
      </c>
      <c r="C1519" s="238">
        <f t="shared" si="35"/>
        <v>36586</v>
      </c>
    </row>
    <row r="1520" spans="1:3" ht="16.2" x14ac:dyDescent="0.35">
      <c r="A1520" s="20">
        <v>36602</v>
      </c>
      <c r="B1520" s="21">
        <v>8.24</v>
      </c>
      <c r="C1520" s="238">
        <f t="shared" si="35"/>
        <v>36586</v>
      </c>
    </row>
    <row r="1521" spans="1:3" ht="16.2" x14ac:dyDescent="0.35">
      <c r="A1521" s="20">
        <v>36609</v>
      </c>
      <c r="B1521" s="21">
        <v>8.23</v>
      </c>
      <c r="C1521" s="238">
        <f t="shared" si="35"/>
        <v>36586</v>
      </c>
    </row>
    <row r="1522" spans="1:3" ht="16.2" x14ac:dyDescent="0.35">
      <c r="A1522" s="20">
        <v>36616</v>
      </c>
      <c r="B1522" s="21">
        <v>8.23</v>
      </c>
      <c r="C1522" s="238">
        <f t="shared" si="35"/>
        <v>36586</v>
      </c>
    </row>
    <row r="1523" spans="1:3" ht="16.2" x14ac:dyDescent="0.35">
      <c r="A1523" s="20">
        <v>36623</v>
      </c>
      <c r="B1523" s="21">
        <v>8.1999999999999993</v>
      </c>
      <c r="C1523" s="238">
        <f t="shared" si="35"/>
        <v>36617</v>
      </c>
    </row>
    <row r="1524" spans="1:3" ht="16.2" x14ac:dyDescent="0.35">
      <c r="A1524" s="20">
        <v>36630</v>
      </c>
      <c r="B1524" s="21">
        <v>8.1199999999999992</v>
      </c>
      <c r="C1524" s="238">
        <f t="shared" si="35"/>
        <v>36617</v>
      </c>
    </row>
    <row r="1525" spans="1:3" ht="16.2" x14ac:dyDescent="0.35">
      <c r="A1525" s="20">
        <v>36637</v>
      </c>
      <c r="B1525" s="21">
        <v>8.16</v>
      </c>
      <c r="C1525" s="238">
        <f t="shared" si="35"/>
        <v>36617</v>
      </c>
    </row>
    <row r="1526" spans="1:3" ht="16.2" x14ac:dyDescent="0.35">
      <c r="A1526" s="20">
        <v>36644</v>
      </c>
      <c r="B1526" s="21">
        <v>8.1300000000000008</v>
      </c>
      <c r="C1526" s="238">
        <f t="shared" si="35"/>
        <v>36617</v>
      </c>
    </row>
    <row r="1527" spans="1:3" ht="16.2" x14ac:dyDescent="0.35">
      <c r="A1527" s="20">
        <v>36651</v>
      </c>
      <c r="B1527" s="21">
        <v>8.2799999999999994</v>
      </c>
      <c r="C1527" s="238">
        <f t="shared" si="35"/>
        <v>36647</v>
      </c>
    </row>
    <row r="1528" spans="1:3" ht="16.2" x14ac:dyDescent="0.35">
      <c r="A1528" s="20">
        <v>36658</v>
      </c>
      <c r="B1528" s="21">
        <v>8.52</v>
      </c>
      <c r="C1528" s="238">
        <f t="shared" si="35"/>
        <v>36647</v>
      </c>
    </row>
    <row r="1529" spans="1:3" ht="16.2" x14ac:dyDescent="0.35">
      <c r="A1529" s="20">
        <v>36665</v>
      </c>
      <c r="B1529" s="21">
        <v>8.64</v>
      </c>
      <c r="C1529" s="238">
        <f t="shared" si="35"/>
        <v>36647</v>
      </c>
    </row>
    <row r="1530" spans="1:3" ht="16.2" x14ac:dyDescent="0.35">
      <c r="A1530" s="20">
        <v>36672</v>
      </c>
      <c r="B1530" s="21">
        <v>8.6199999999999992</v>
      </c>
      <c r="C1530" s="238">
        <f t="shared" si="35"/>
        <v>36647</v>
      </c>
    </row>
    <row r="1531" spans="1:3" ht="16.2" x14ac:dyDescent="0.35">
      <c r="A1531" s="20">
        <v>36679</v>
      </c>
      <c r="B1531" s="21">
        <v>8.5399999999999991</v>
      </c>
      <c r="C1531" s="238">
        <f t="shared" si="35"/>
        <v>36678</v>
      </c>
    </row>
    <row r="1532" spans="1:3" ht="16.2" x14ac:dyDescent="0.35">
      <c r="A1532" s="20">
        <v>36686</v>
      </c>
      <c r="B1532" s="21">
        <v>8.32</v>
      </c>
      <c r="C1532" s="238">
        <f t="shared" si="35"/>
        <v>36678</v>
      </c>
    </row>
    <row r="1533" spans="1:3" ht="16.2" x14ac:dyDescent="0.35">
      <c r="A1533" s="20">
        <v>36693</v>
      </c>
      <c r="B1533" s="21">
        <v>8.2200000000000006</v>
      </c>
      <c r="C1533" s="238">
        <f t="shared" si="35"/>
        <v>36678</v>
      </c>
    </row>
    <row r="1534" spans="1:3" ht="16.2" x14ac:dyDescent="0.35">
      <c r="A1534" s="20">
        <v>36700</v>
      </c>
      <c r="B1534" s="21">
        <v>8.14</v>
      </c>
      <c r="C1534" s="238">
        <f t="shared" si="35"/>
        <v>36678</v>
      </c>
    </row>
    <row r="1535" spans="1:3" ht="16.2" x14ac:dyDescent="0.35">
      <c r="A1535" s="20">
        <v>36707</v>
      </c>
      <c r="B1535" s="21">
        <v>8.2200000000000006</v>
      </c>
      <c r="C1535" s="238">
        <f t="shared" si="35"/>
        <v>36678</v>
      </c>
    </row>
    <row r="1536" spans="1:3" ht="16.2" x14ac:dyDescent="0.35">
      <c r="A1536" s="20">
        <v>36714</v>
      </c>
      <c r="B1536" s="21">
        <v>8.16</v>
      </c>
      <c r="C1536" s="238">
        <f t="shared" si="35"/>
        <v>36708</v>
      </c>
    </row>
    <row r="1537" spans="1:3" ht="16.2" x14ac:dyDescent="0.35">
      <c r="A1537" s="20">
        <v>36721</v>
      </c>
      <c r="B1537" s="21">
        <v>8.09</v>
      </c>
      <c r="C1537" s="238">
        <f t="shared" si="35"/>
        <v>36708</v>
      </c>
    </row>
    <row r="1538" spans="1:3" ht="16.2" x14ac:dyDescent="0.35">
      <c r="A1538" s="20">
        <v>36728</v>
      </c>
      <c r="B1538" s="21">
        <v>8.2100000000000009</v>
      </c>
      <c r="C1538" s="238">
        <f t="shared" si="35"/>
        <v>36708</v>
      </c>
    </row>
    <row r="1539" spans="1:3" ht="16.2" x14ac:dyDescent="0.35">
      <c r="A1539" s="20">
        <v>36735</v>
      </c>
      <c r="B1539" s="21">
        <v>8.1300000000000008</v>
      </c>
      <c r="C1539" s="238">
        <f t="shared" si="35"/>
        <v>36708</v>
      </c>
    </row>
    <row r="1540" spans="1:3" ht="16.2" x14ac:dyDescent="0.35">
      <c r="A1540" s="20">
        <v>36742</v>
      </c>
      <c r="B1540" s="21">
        <v>8.1199999999999992</v>
      </c>
      <c r="C1540" s="238">
        <f t="shared" si="35"/>
        <v>36739</v>
      </c>
    </row>
    <row r="1541" spans="1:3" ht="16.2" x14ac:dyDescent="0.35">
      <c r="A1541" s="20">
        <v>36749</v>
      </c>
      <c r="B1541" s="21">
        <v>8.0399999999999991</v>
      </c>
      <c r="C1541" s="238">
        <f t="shared" si="35"/>
        <v>36739</v>
      </c>
    </row>
    <row r="1542" spans="1:3" ht="16.2" x14ac:dyDescent="0.35">
      <c r="A1542" s="20">
        <v>36756</v>
      </c>
      <c r="B1542" s="21">
        <v>7.96</v>
      </c>
      <c r="C1542" s="238">
        <f t="shared" si="35"/>
        <v>36739</v>
      </c>
    </row>
    <row r="1543" spans="1:3" ht="16.2" x14ac:dyDescent="0.35">
      <c r="A1543" s="20">
        <v>36763</v>
      </c>
      <c r="B1543" s="21">
        <v>7.99</v>
      </c>
      <c r="C1543" s="238">
        <f t="shared" si="35"/>
        <v>36739</v>
      </c>
    </row>
    <row r="1544" spans="1:3" ht="16.2" x14ac:dyDescent="0.35">
      <c r="A1544" s="20">
        <v>36770</v>
      </c>
      <c r="B1544" s="21">
        <v>7.96</v>
      </c>
      <c r="C1544" s="238">
        <f t="shared" si="35"/>
        <v>36770</v>
      </c>
    </row>
    <row r="1545" spans="1:3" ht="16.2" x14ac:dyDescent="0.35">
      <c r="A1545" s="20">
        <v>36777</v>
      </c>
      <c r="B1545" s="21">
        <v>7.94</v>
      </c>
      <c r="C1545" s="238">
        <f t="shared" si="35"/>
        <v>36770</v>
      </c>
    </row>
    <row r="1546" spans="1:3" ht="16.2" x14ac:dyDescent="0.35">
      <c r="A1546" s="20">
        <v>36784</v>
      </c>
      <c r="B1546" s="21">
        <v>7.88</v>
      </c>
      <c r="C1546" s="238">
        <f t="shared" si="35"/>
        <v>36770</v>
      </c>
    </row>
    <row r="1547" spans="1:3" ht="16.2" x14ac:dyDescent="0.35">
      <c r="A1547" s="20">
        <v>36791</v>
      </c>
      <c r="B1547" s="21">
        <v>7.9</v>
      </c>
      <c r="C1547" s="238">
        <f t="shared" si="35"/>
        <v>36770</v>
      </c>
    </row>
    <row r="1548" spans="1:3" ht="16.2" x14ac:dyDescent="0.35">
      <c r="A1548" s="20">
        <v>36798</v>
      </c>
      <c r="B1548" s="21">
        <v>7.88</v>
      </c>
      <c r="C1548" s="238">
        <f t="shared" si="35"/>
        <v>36770</v>
      </c>
    </row>
    <row r="1549" spans="1:3" ht="16.2" x14ac:dyDescent="0.35">
      <c r="A1549" s="20">
        <v>36805</v>
      </c>
      <c r="B1549" s="21">
        <v>7.83</v>
      </c>
      <c r="C1549" s="238">
        <f t="shared" si="35"/>
        <v>36800</v>
      </c>
    </row>
    <row r="1550" spans="1:3" ht="16.2" x14ac:dyDescent="0.35">
      <c r="A1550" s="20">
        <v>36812</v>
      </c>
      <c r="B1550" s="21">
        <v>7.84</v>
      </c>
      <c r="C1550" s="238">
        <f t="shared" si="35"/>
        <v>36800</v>
      </c>
    </row>
    <row r="1551" spans="1:3" ht="16.2" x14ac:dyDescent="0.35">
      <c r="A1551" s="20">
        <v>36819</v>
      </c>
      <c r="B1551" s="21">
        <v>7.83</v>
      </c>
      <c r="C1551" s="238">
        <f t="shared" si="35"/>
        <v>36800</v>
      </c>
    </row>
    <row r="1552" spans="1:3" ht="16.2" x14ac:dyDescent="0.35">
      <c r="A1552" s="20">
        <v>36826</v>
      </c>
      <c r="B1552" s="21">
        <v>7.68</v>
      </c>
      <c r="C1552" s="238">
        <f t="shared" ref="C1552:C1615" si="36">EOMONTH(A1552,-1)+1</f>
        <v>36800</v>
      </c>
    </row>
    <row r="1553" spans="1:3" ht="16.2" x14ac:dyDescent="0.35">
      <c r="A1553" s="20">
        <v>36833</v>
      </c>
      <c r="B1553" s="21">
        <v>7.73</v>
      </c>
      <c r="C1553" s="238">
        <f t="shared" si="36"/>
        <v>36831</v>
      </c>
    </row>
    <row r="1554" spans="1:3" ht="16.2" x14ac:dyDescent="0.35">
      <c r="A1554" s="20">
        <v>36840</v>
      </c>
      <c r="B1554" s="21">
        <v>7.79</v>
      </c>
      <c r="C1554" s="238">
        <f t="shared" si="36"/>
        <v>36831</v>
      </c>
    </row>
    <row r="1555" spans="1:3" ht="16.2" x14ac:dyDescent="0.35">
      <c r="A1555" s="20">
        <v>36847</v>
      </c>
      <c r="B1555" s="21">
        <v>7.73</v>
      </c>
      <c r="C1555" s="238">
        <f t="shared" si="36"/>
        <v>36831</v>
      </c>
    </row>
    <row r="1556" spans="1:3" ht="16.2" x14ac:dyDescent="0.35">
      <c r="A1556" s="20">
        <v>36854</v>
      </c>
      <c r="B1556" s="21">
        <v>7.73</v>
      </c>
      <c r="C1556" s="238">
        <f t="shared" si="36"/>
        <v>36831</v>
      </c>
    </row>
    <row r="1557" spans="1:3" ht="16.2" x14ac:dyDescent="0.35">
      <c r="A1557" s="20">
        <v>36861</v>
      </c>
      <c r="B1557" s="21">
        <v>7.65</v>
      </c>
      <c r="C1557" s="238">
        <f t="shared" si="36"/>
        <v>36861</v>
      </c>
    </row>
    <row r="1558" spans="1:3" ht="16.2" x14ac:dyDescent="0.35">
      <c r="A1558" s="20">
        <v>36868</v>
      </c>
      <c r="B1558" s="21">
        <v>7.54</v>
      </c>
      <c r="C1558" s="238">
        <f t="shared" si="36"/>
        <v>36861</v>
      </c>
    </row>
    <row r="1559" spans="1:3" ht="16.2" x14ac:dyDescent="0.35">
      <c r="A1559" s="20">
        <v>36875</v>
      </c>
      <c r="B1559" s="21">
        <v>7.42</v>
      </c>
      <c r="C1559" s="238">
        <f t="shared" si="36"/>
        <v>36861</v>
      </c>
    </row>
    <row r="1560" spans="1:3" ht="16.2" x14ac:dyDescent="0.35">
      <c r="A1560" s="20">
        <v>36882</v>
      </c>
      <c r="B1560" s="21">
        <v>7.17</v>
      </c>
      <c r="C1560" s="238">
        <f t="shared" si="36"/>
        <v>36861</v>
      </c>
    </row>
    <row r="1561" spans="1:3" ht="16.2" x14ac:dyDescent="0.35">
      <c r="A1561" s="20">
        <v>36889</v>
      </c>
      <c r="B1561" s="21">
        <v>7.13</v>
      </c>
      <c r="C1561" s="238">
        <f t="shared" si="36"/>
        <v>36861</v>
      </c>
    </row>
    <row r="1562" spans="1:3" ht="16.2" x14ac:dyDescent="0.35">
      <c r="A1562" s="20">
        <v>36896</v>
      </c>
      <c r="B1562" s="21">
        <v>7.07</v>
      </c>
      <c r="C1562" s="238">
        <f t="shared" si="36"/>
        <v>36892</v>
      </c>
    </row>
    <row r="1563" spans="1:3" ht="16.2" x14ac:dyDescent="0.35">
      <c r="A1563" s="20">
        <v>36903</v>
      </c>
      <c r="B1563" s="21">
        <v>6.89</v>
      </c>
      <c r="C1563" s="238">
        <f t="shared" si="36"/>
        <v>36892</v>
      </c>
    </row>
    <row r="1564" spans="1:3" ht="16.2" x14ac:dyDescent="0.35">
      <c r="A1564" s="20">
        <v>36910</v>
      </c>
      <c r="B1564" s="21">
        <v>7.02</v>
      </c>
      <c r="C1564" s="238">
        <f t="shared" si="36"/>
        <v>36892</v>
      </c>
    </row>
    <row r="1565" spans="1:3" ht="16.2" x14ac:dyDescent="0.35">
      <c r="A1565" s="20">
        <v>36917</v>
      </c>
      <c r="B1565" s="21">
        <v>7.15</v>
      </c>
      <c r="C1565" s="238">
        <f t="shared" si="36"/>
        <v>36892</v>
      </c>
    </row>
    <row r="1566" spans="1:3" ht="16.2" x14ac:dyDescent="0.35">
      <c r="A1566" s="20">
        <v>36924</v>
      </c>
      <c r="B1566" s="21">
        <v>7.09</v>
      </c>
      <c r="C1566" s="238">
        <f t="shared" si="36"/>
        <v>36923</v>
      </c>
    </row>
    <row r="1567" spans="1:3" ht="16.2" x14ac:dyDescent="0.35">
      <c r="A1567" s="20">
        <v>36931</v>
      </c>
      <c r="B1567" s="21">
        <v>6.98</v>
      </c>
      <c r="C1567" s="238">
        <f t="shared" si="36"/>
        <v>36923</v>
      </c>
    </row>
    <row r="1568" spans="1:3" ht="16.2" x14ac:dyDescent="0.35">
      <c r="A1568" s="20">
        <v>36938</v>
      </c>
      <c r="B1568" s="21">
        <v>7.01</v>
      </c>
      <c r="C1568" s="238">
        <f t="shared" si="36"/>
        <v>36923</v>
      </c>
    </row>
    <row r="1569" spans="1:3" ht="16.2" x14ac:dyDescent="0.35">
      <c r="A1569" s="20">
        <v>36945</v>
      </c>
      <c r="B1569" s="21">
        <v>7.12</v>
      </c>
      <c r="C1569" s="238">
        <f t="shared" si="36"/>
        <v>36923</v>
      </c>
    </row>
    <row r="1570" spans="1:3" ht="16.2" x14ac:dyDescent="0.35">
      <c r="A1570" s="20">
        <v>36952</v>
      </c>
      <c r="B1570" s="21">
        <v>7.03</v>
      </c>
      <c r="C1570" s="238">
        <f t="shared" si="36"/>
        <v>36951</v>
      </c>
    </row>
    <row r="1571" spans="1:3" ht="16.2" x14ac:dyDescent="0.35">
      <c r="A1571" s="20">
        <v>36959</v>
      </c>
      <c r="B1571" s="21">
        <v>6.97</v>
      </c>
      <c r="C1571" s="238">
        <f t="shared" si="36"/>
        <v>36951</v>
      </c>
    </row>
    <row r="1572" spans="1:3" ht="16.2" x14ac:dyDescent="0.35">
      <c r="A1572" s="20">
        <v>36966</v>
      </c>
      <c r="B1572" s="21">
        <v>6.96</v>
      </c>
      <c r="C1572" s="238">
        <f t="shared" si="36"/>
        <v>36951</v>
      </c>
    </row>
    <row r="1573" spans="1:3" ht="16.2" x14ac:dyDescent="0.35">
      <c r="A1573" s="20">
        <v>36973</v>
      </c>
      <c r="B1573" s="21">
        <v>6.89</v>
      </c>
      <c r="C1573" s="238">
        <f t="shared" si="36"/>
        <v>36951</v>
      </c>
    </row>
    <row r="1574" spans="1:3" ht="16.2" x14ac:dyDescent="0.35">
      <c r="A1574" s="20">
        <v>36980</v>
      </c>
      <c r="B1574" s="21">
        <v>6.91</v>
      </c>
      <c r="C1574" s="238">
        <f t="shared" si="36"/>
        <v>36951</v>
      </c>
    </row>
    <row r="1575" spans="1:3" ht="16.2" x14ac:dyDescent="0.35">
      <c r="A1575" s="20">
        <v>36987</v>
      </c>
      <c r="B1575" s="21">
        <v>7.01</v>
      </c>
      <c r="C1575" s="238">
        <f t="shared" si="36"/>
        <v>36982</v>
      </c>
    </row>
    <row r="1576" spans="1:3" ht="16.2" x14ac:dyDescent="0.35">
      <c r="A1576" s="20">
        <v>36994</v>
      </c>
      <c r="B1576" s="21">
        <v>7.04</v>
      </c>
      <c r="C1576" s="238">
        <f t="shared" si="36"/>
        <v>36982</v>
      </c>
    </row>
    <row r="1577" spans="1:3" ht="16.2" x14ac:dyDescent="0.35">
      <c r="A1577" s="20">
        <v>37001</v>
      </c>
      <c r="B1577" s="21">
        <v>7.14</v>
      </c>
      <c r="C1577" s="238">
        <f t="shared" si="36"/>
        <v>36982</v>
      </c>
    </row>
    <row r="1578" spans="1:3" ht="16.2" x14ac:dyDescent="0.35">
      <c r="A1578" s="20">
        <v>37008</v>
      </c>
      <c r="B1578" s="21">
        <v>7.12</v>
      </c>
      <c r="C1578" s="238">
        <f t="shared" si="36"/>
        <v>36982</v>
      </c>
    </row>
    <row r="1579" spans="1:3" ht="16.2" x14ac:dyDescent="0.35">
      <c r="A1579" s="20">
        <v>37015</v>
      </c>
      <c r="B1579" s="21">
        <v>7.14</v>
      </c>
      <c r="C1579" s="238">
        <f t="shared" si="36"/>
        <v>37012</v>
      </c>
    </row>
    <row r="1580" spans="1:3" ht="16.2" x14ac:dyDescent="0.35">
      <c r="A1580" s="20">
        <v>37022</v>
      </c>
      <c r="B1580" s="21">
        <v>7.1</v>
      </c>
      <c r="C1580" s="238">
        <f t="shared" si="36"/>
        <v>37012</v>
      </c>
    </row>
    <row r="1581" spans="1:3" ht="16.2" x14ac:dyDescent="0.35">
      <c r="A1581" s="20">
        <v>37029</v>
      </c>
      <c r="B1581" s="21">
        <v>7.14</v>
      </c>
      <c r="C1581" s="238">
        <f t="shared" si="36"/>
        <v>37012</v>
      </c>
    </row>
    <row r="1582" spans="1:3" ht="16.2" x14ac:dyDescent="0.35">
      <c r="A1582" s="20">
        <v>37036</v>
      </c>
      <c r="B1582" s="21">
        <v>7.2</v>
      </c>
      <c r="C1582" s="238">
        <f t="shared" si="36"/>
        <v>37012</v>
      </c>
    </row>
    <row r="1583" spans="1:3" ht="16.2" x14ac:dyDescent="0.35">
      <c r="A1583" s="20">
        <v>37043</v>
      </c>
      <c r="B1583" s="21">
        <v>7.24</v>
      </c>
      <c r="C1583" s="238">
        <f t="shared" si="36"/>
        <v>37043</v>
      </c>
    </row>
    <row r="1584" spans="1:3" ht="16.2" x14ac:dyDescent="0.35">
      <c r="A1584" s="20">
        <v>37050</v>
      </c>
      <c r="B1584" s="21">
        <v>7.2</v>
      </c>
      <c r="C1584" s="238">
        <f t="shared" si="36"/>
        <v>37043</v>
      </c>
    </row>
    <row r="1585" spans="1:3" ht="16.2" x14ac:dyDescent="0.35">
      <c r="A1585" s="20">
        <v>37057</v>
      </c>
      <c r="B1585" s="21">
        <v>7.14</v>
      </c>
      <c r="C1585" s="238">
        <f t="shared" si="36"/>
        <v>37043</v>
      </c>
    </row>
    <row r="1586" spans="1:3" ht="16.2" x14ac:dyDescent="0.35">
      <c r="A1586" s="20">
        <v>37064</v>
      </c>
      <c r="B1586" s="21">
        <v>7.11</v>
      </c>
      <c r="C1586" s="238">
        <f t="shared" si="36"/>
        <v>37043</v>
      </c>
    </row>
    <row r="1587" spans="1:3" ht="16.2" x14ac:dyDescent="0.35">
      <c r="A1587" s="20">
        <v>37071</v>
      </c>
      <c r="B1587" s="21">
        <v>7.11</v>
      </c>
      <c r="C1587" s="238">
        <f t="shared" si="36"/>
        <v>37043</v>
      </c>
    </row>
    <row r="1588" spans="1:3" ht="16.2" x14ac:dyDescent="0.35">
      <c r="A1588" s="20">
        <v>37078</v>
      </c>
      <c r="B1588" s="21">
        <v>7.19</v>
      </c>
      <c r="C1588" s="238">
        <f t="shared" si="36"/>
        <v>37073</v>
      </c>
    </row>
    <row r="1589" spans="1:3" ht="16.2" x14ac:dyDescent="0.35">
      <c r="A1589" s="20">
        <v>37085</v>
      </c>
      <c r="B1589" s="21">
        <v>7.21</v>
      </c>
      <c r="C1589" s="238">
        <f t="shared" si="36"/>
        <v>37073</v>
      </c>
    </row>
    <row r="1590" spans="1:3" ht="16.2" x14ac:dyDescent="0.35">
      <c r="A1590" s="20">
        <v>37092</v>
      </c>
      <c r="B1590" s="21">
        <v>7.08</v>
      </c>
      <c r="C1590" s="238">
        <f t="shared" si="36"/>
        <v>37073</v>
      </c>
    </row>
    <row r="1591" spans="1:3" ht="16.2" x14ac:dyDescent="0.35">
      <c r="A1591" s="20">
        <v>37099</v>
      </c>
      <c r="B1591" s="21">
        <v>7.03</v>
      </c>
      <c r="C1591" s="238">
        <f t="shared" si="36"/>
        <v>37073</v>
      </c>
    </row>
    <row r="1592" spans="1:3" ht="16.2" x14ac:dyDescent="0.35">
      <c r="A1592" s="20">
        <v>37106</v>
      </c>
      <c r="B1592" s="21">
        <v>7</v>
      </c>
      <c r="C1592" s="238">
        <f t="shared" si="36"/>
        <v>37104</v>
      </c>
    </row>
    <row r="1593" spans="1:3" ht="16.2" x14ac:dyDescent="0.35">
      <c r="A1593" s="20">
        <v>37113</v>
      </c>
      <c r="B1593" s="21">
        <v>7</v>
      </c>
      <c r="C1593" s="238">
        <f t="shared" si="36"/>
        <v>37104</v>
      </c>
    </row>
    <row r="1594" spans="1:3" ht="16.2" x14ac:dyDescent="0.35">
      <c r="A1594" s="20">
        <v>37120</v>
      </c>
      <c r="B1594" s="21">
        <v>6.92</v>
      </c>
      <c r="C1594" s="238">
        <f t="shared" si="36"/>
        <v>37104</v>
      </c>
    </row>
    <row r="1595" spans="1:3" ht="16.2" x14ac:dyDescent="0.35">
      <c r="A1595" s="20">
        <v>37127</v>
      </c>
      <c r="B1595" s="21">
        <v>6.91</v>
      </c>
      <c r="C1595" s="238">
        <f t="shared" si="36"/>
        <v>37104</v>
      </c>
    </row>
    <row r="1596" spans="1:3" ht="16.2" x14ac:dyDescent="0.35">
      <c r="A1596" s="20">
        <v>37134</v>
      </c>
      <c r="B1596" s="21">
        <v>6.92</v>
      </c>
      <c r="C1596" s="238">
        <f t="shared" si="36"/>
        <v>37104</v>
      </c>
    </row>
    <row r="1597" spans="1:3" ht="16.2" x14ac:dyDescent="0.35">
      <c r="A1597" s="20">
        <v>37141</v>
      </c>
      <c r="B1597" s="21">
        <v>6.89</v>
      </c>
      <c r="C1597" s="238">
        <f t="shared" si="36"/>
        <v>37135</v>
      </c>
    </row>
    <row r="1598" spans="1:3" ht="16.2" x14ac:dyDescent="0.35">
      <c r="A1598" s="20">
        <v>37148</v>
      </c>
      <c r="B1598" s="21">
        <v>6.86</v>
      </c>
      <c r="C1598" s="238">
        <f t="shared" si="36"/>
        <v>37135</v>
      </c>
    </row>
    <row r="1599" spans="1:3" ht="16.2" x14ac:dyDescent="0.35">
      <c r="A1599" s="20">
        <v>37155</v>
      </c>
      <c r="B1599" s="21">
        <v>6.8</v>
      </c>
      <c r="C1599" s="238">
        <f t="shared" si="36"/>
        <v>37135</v>
      </c>
    </row>
    <row r="1600" spans="1:3" ht="16.2" x14ac:dyDescent="0.35">
      <c r="A1600" s="20">
        <v>37162</v>
      </c>
      <c r="B1600" s="21">
        <v>6.72</v>
      </c>
      <c r="C1600" s="238">
        <f t="shared" si="36"/>
        <v>37135</v>
      </c>
    </row>
    <row r="1601" spans="1:3" ht="16.2" x14ac:dyDescent="0.35">
      <c r="A1601" s="20">
        <v>37169</v>
      </c>
      <c r="B1601" s="21">
        <v>6.64</v>
      </c>
      <c r="C1601" s="238">
        <f t="shared" si="36"/>
        <v>37165</v>
      </c>
    </row>
    <row r="1602" spans="1:3" ht="16.2" x14ac:dyDescent="0.35">
      <c r="A1602" s="20">
        <v>37176</v>
      </c>
      <c r="B1602" s="21">
        <v>6.58</v>
      </c>
      <c r="C1602" s="238">
        <f t="shared" si="36"/>
        <v>37165</v>
      </c>
    </row>
    <row r="1603" spans="1:3" ht="16.2" x14ac:dyDescent="0.35">
      <c r="A1603" s="20">
        <v>37183</v>
      </c>
      <c r="B1603" s="21">
        <v>6.61</v>
      </c>
      <c r="C1603" s="238">
        <f t="shared" si="36"/>
        <v>37165</v>
      </c>
    </row>
    <row r="1604" spans="1:3" ht="16.2" x14ac:dyDescent="0.35">
      <c r="A1604" s="20">
        <v>37190</v>
      </c>
      <c r="B1604" s="21">
        <v>6.64</v>
      </c>
      <c r="C1604" s="238">
        <f t="shared" si="36"/>
        <v>37165</v>
      </c>
    </row>
    <row r="1605" spans="1:3" ht="16.2" x14ac:dyDescent="0.35">
      <c r="A1605" s="20">
        <v>37197</v>
      </c>
      <c r="B1605" s="21">
        <v>6.56</v>
      </c>
      <c r="C1605" s="238">
        <f t="shared" si="36"/>
        <v>37196</v>
      </c>
    </row>
    <row r="1606" spans="1:3" ht="16.2" x14ac:dyDescent="0.35">
      <c r="A1606" s="20">
        <v>37204</v>
      </c>
      <c r="B1606" s="21">
        <v>6.45</v>
      </c>
      <c r="C1606" s="238">
        <f t="shared" si="36"/>
        <v>37196</v>
      </c>
    </row>
    <row r="1607" spans="1:3" ht="16.2" x14ac:dyDescent="0.35">
      <c r="A1607" s="20">
        <v>37211</v>
      </c>
      <c r="B1607" s="21">
        <v>6.51</v>
      </c>
      <c r="C1607" s="238">
        <f t="shared" si="36"/>
        <v>37196</v>
      </c>
    </row>
    <row r="1608" spans="1:3" ht="16.2" x14ac:dyDescent="0.35">
      <c r="A1608" s="20">
        <v>37218</v>
      </c>
      <c r="B1608" s="21">
        <v>6.75</v>
      </c>
      <c r="C1608" s="238">
        <f t="shared" si="36"/>
        <v>37196</v>
      </c>
    </row>
    <row r="1609" spans="1:3" ht="16.2" x14ac:dyDescent="0.35">
      <c r="A1609" s="20">
        <v>37225</v>
      </c>
      <c r="B1609" s="21">
        <v>7.02</v>
      </c>
      <c r="C1609" s="238">
        <f t="shared" si="36"/>
        <v>37196</v>
      </c>
    </row>
    <row r="1610" spans="1:3" ht="16.2" x14ac:dyDescent="0.35">
      <c r="A1610" s="20">
        <v>37232</v>
      </c>
      <c r="B1610" s="21">
        <v>6.84</v>
      </c>
      <c r="C1610" s="238">
        <f t="shared" si="36"/>
        <v>37226</v>
      </c>
    </row>
    <row r="1611" spans="1:3" ht="16.2" x14ac:dyDescent="0.35">
      <c r="A1611" s="20">
        <v>37239</v>
      </c>
      <c r="B1611" s="21">
        <v>7.09</v>
      </c>
      <c r="C1611" s="238">
        <f t="shared" si="36"/>
        <v>37226</v>
      </c>
    </row>
    <row r="1612" spans="1:3" ht="16.2" x14ac:dyDescent="0.35">
      <c r="A1612" s="20">
        <v>37246</v>
      </c>
      <c r="B1612" s="21">
        <v>7.17</v>
      </c>
      <c r="C1612" s="238">
        <f t="shared" si="36"/>
        <v>37226</v>
      </c>
    </row>
    <row r="1613" spans="1:3" ht="16.2" x14ac:dyDescent="0.35">
      <c r="A1613" s="20">
        <v>37253</v>
      </c>
      <c r="B1613" s="21">
        <v>7.16</v>
      </c>
      <c r="C1613" s="238">
        <f t="shared" si="36"/>
        <v>37226</v>
      </c>
    </row>
    <row r="1614" spans="1:3" ht="16.2" x14ac:dyDescent="0.35">
      <c r="A1614" s="20">
        <v>37260</v>
      </c>
      <c r="B1614" s="21">
        <v>7.14</v>
      </c>
      <c r="C1614" s="238">
        <f t="shared" si="36"/>
        <v>37257</v>
      </c>
    </row>
    <row r="1615" spans="1:3" ht="16.2" x14ac:dyDescent="0.35">
      <c r="A1615" s="20">
        <v>37267</v>
      </c>
      <c r="B1615" s="21">
        <v>7.06</v>
      </c>
      <c r="C1615" s="238">
        <f t="shared" si="36"/>
        <v>37257</v>
      </c>
    </row>
    <row r="1616" spans="1:3" ht="16.2" x14ac:dyDescent="0.35">
      <c r="A1616" s="20">
        <v>37274</v>
      </c>
      <c r="B1616" s="21">
        <v>6.83</v>
      </c>
      <c r="C1616" s="238">
        <f t="shared" ref="C1616:C1679" si="37">EOMONTH(A1616,-1)+1</f>
        <v>37257</v>
      </c>
    </row>
    <row r="1617" spans="1:3" ht="16.2" x14ac:dyDescent="0.35">
      <c r="A1617" s="20">
        <v>37281</v>
      </c>
      <c r="B1617" s="21">
        <v>6.96</v>
      </c>
      <c r="C1617" s="238">
        <f t="shared" si="37"/>
        <v>37257</v>
      </c>
    </row>
    <row r="1618" spans="1:3" ht="16.2" x14ac:dyDescent="0.35">
      <c r="A1618" s="20">
        <v>37288</v>
      </c>
      <c r="B1618" s="21">
        <v>7.02</v>
      </c>
      <c r="C1618" s="238">
        <f t="shared" si="37"/>
        <v>37288</v>
      </c>
    </row>
    <row r="1619" spans="1:3" ht="16.2" x14ac:dyDescent="0.35">
      <c r="A1619" s="20">
        <v>37295</v>
      </c>
      <c r="B1619" s="21">
        <v>6.88</v>
      </c>
      <c r="C1619" s="238">
        <f t="shared" si="37"/>
        <v>37288</v>
      </c>
    </row>
    <row r="1620" spans="1:3" ht="16.2" x14ac:dyDescent="0.35">
      <c r="A1620" s="20">
        <v>37302</v>
      </c>
      <c r="B1620" s="21">
        <v>6.86</v>
      </c>
      <c r="C1620" s="238">
        <f t="shared" si="37"/>
        <v>37288</v>
      </c>
    </row>
    <row r="1621" spans="1:3" ht="16.2" x14ac:dyDescent="0.35">
      <c r="A1621" s="20">
        <v>37309</v>
      </c>
      <c r="B1621" s="21">
        <v>6.81</v>
      </c>
      <c r="C1621" s="238">
        <f t="shared" si="37"/>
        <v>37288</v>
      </c>
    </row>
    <row r="1622" spans="1:3" ht="16.2" x14ac:dyDescent="0.35">
      <c r="A1622" s="20">
        <v>37316</v>
      </c>
      <c r="B1622" s="21">
        <v>6.8</v>
      </c>
      <c r="C1622" s="238">
        <f t="shared" si="37"/>
        <v>37316</v>
      </c>
    </row>
    <row r="1623" spans="1:3" ht="16.2" x14ac:dyDescent="0.35">
      <c r="A1623" s="20">
        <v>37323</v>
      </c>
      <c r="B1623" s="21">
        <v>6.87</v>
      </c>
      <c r="C1623" s="238">
        <f t="shared" si="37"/>
        <v>37316</v>
      </c>
    </row>
    <row r="1624" spans="1:3" ht="16.2" x14ac:dyDescent="0.35">
      <c r="A1624" s="20">
        <v>37330</v>
      </c>
      <c r="B1624" s="21">
        <v>7.08</v>
      </c>
      <c r="C1624" s="238">
        <f t="shared" si="37"/>
        <v>37316</v>
      </c>
    </row>
    <row r="1625" spans="1:3" ht="16.2" x14ac:dyDescent="0.35">
      <c r="A1625" s="20">
        <v>37337</v>
      </c>
      <c r="B1625" s="21">
        <v>7.14</v>
      </c>
      <c r="C1625" s="238">
        <f t="shared" si="37"/>
        <v>37316</v>
      </c>
    </row>
    <row r="1626" spans="1:3" ht="16.2" x14ac:dyDescent="0.35">
      <c r="A1626" s="20">
        <v>37344</v>
      </c>
      <c r="B1626" s="21">
        <v>7.18</v>
      </c>
      <c r="C1626" s="238">
        <f t="shared" si="37"/>
        <v>37316</v>
      </c>
    </row>
    <row r="1627" spans="1:3" ht="16.2" x14ac:dyDescent="0.35">
      <c r="A1627" s="20">
        <v>37351</v>
      </c>
      <c r="B1627" s="21">
        <v>7.13</v>
      </c>
      <c r="C1627" s="238">
        <f t="shared" si="37"/>
        <v>37347</v>
      </c>
    </row>
    <row r="1628" spans="1:3" ht="16.2" x14ac:dyDescent="0.35">
      <c r="A1628" s="20">
        <v>37358</v>
      </c>
      <c r="B1628" s="21">
        <v>6.99</v>
      </c>
      <c r="C1628" s="238">
        <f t="shared" si="37"/>
        <v>37347</v>
      </c>
    </row>
    <row r="1629" spans="1:3" ht="16.2" x14ac:dyDescent="0.35">
      <c r="A1629" s="20">
        <v>37365</v>
      </c>
      <c r="B1629" s="21">
        <v>6.94</v>
      </c>
      <c r="C1629" s="238">
        <f t="shared" si="37"/>
        <v>37347</v>
      </c>
    </row>
    <row r="1630" spans="1:3" ht="16.2" x14ac:dyDescent="0.35">
      <c r="A1630" s="20">
        <v>37372</v>
      </c>
      <c r="B1630" s="21">
        <v>6.88</v>
      </c>
      <c r="C1630" s="238">
        <f t="shared" si="37"/>
        <v>37347</v>
      </c>
    </row>
    <row r="1631" spans="1:3" ht="16.2" x14ac:dyDescent="0.35">
      <c r="A1631" s="20">
        <v>37379</v>
      </c>
      <c r="B1631" s="21">
        <v>6.78</v>
      </c>
      <c r="C1631" s="238">
        <f t="shared" si="37"/>
        <v>37377</v>
      </c>
    </row>
    <row r="1632" spans="1:3" ht="16.2" x14ac:dyDescent="0.35">
      <c r="A1632" s="20">
        <v>37386</v>
      </c>
      <c r="B1632" s="21">
        <v>6.79</v>
      </c>
      <c r="C1632" s="238">
        <f t="shared" si="37"/>
        <v>37377</v>
      </c>
    </row>
    <row r="1633" spans="1:3" ht="16.2" x14ac:dyDescent="0.35">
      <c r="A1633" s="20">
        <v>37393</v>
      </c>
      <c r="B1633" s="21">
        <v>6.89</v>
      </c>
      <c r="C1633" s="238">
        <f t="shared" si="37"/>
        <v>37377</v>
      </c>
    </row>
    <row r="1634" spans="1:3" ht="16.2" x14ac:dyDescent="0.35">
      <c r="A1634" s="20">
        <v>37400</v>
      </c>
      <c r="B1634" s="21">
        <v>6.81</v>
      </c>
      <c r="C1634" s="238">
        <f t="shared" si="37"/>
        <v>37377</v>
      </c>
    </row>
    <row r="1635" spans="1:3" ht="16.2" x14ac:dyDescent="0.35">
      <c r="A1635" s="20">
        <v>37407</v>
      </c>
      <c r="B1635" s="21">
        <v>6.76</v>
      </c>
      <c r="C1635" s="238">
        <f t="shared" si="37"/>
        <v>37377</v>
      </c>
    </row>
    <row r="1636" spans="1:3" ht="16.2" x14ac:dyDescent="0.35">
      <c r="A1636" s="20">
        <v>37414</v>
      </c>
      <c r="B1636" s="21">
        <v>6.71</v>
      </c>
      <c r="C1636" s="238">
        <f t="shared" si="37"/>
        <v>37408</v>
      </c>
    </row>
    <row r="1637" spans="1:3" ht="16.2" x14ac:dyDescent="0.35">
      <c r="A1637" s="20">
        <v>37421</v>
      </c>
      <c r="B1637" s="21">
        <v>6.71</v>
      </c>
      <c r="C1637" s="238">
        <f t="shared" si="37"/>
        <v>37408</v>
      </c>
    </row>
    <row r="1638" spans="1:3" ht="16.2" x14ac:dyDescent="0.35">
      <c r="A1638" s="20">
        <v>37428</v>
      </c>
      <c r="B1638" s="21">
        <v>6.63</v>
      </c>
      <c r="C1638" s="238">
        <f t="shared" si="37"/>
        <v>37408</v>
      </c>
    </row>
    <row r="1639" spans="1:3" ht="16.2" x14ac:dyDescent="0.35">
      <c r="A1639" s="20">
        <v>37435</v>
      </c>
      <c r="B1639" s="21">
        <v>6.55</v>
      </c>
      <c r="C1639" s="238">
        <f t="shared" si="37"/>
        <v>37408</v>
      </c>
    </row>
    <row r="1640" spans="1:3" ht="16.2" x14ac:dyDescent="0.35">
      <c r="A1640" s="20">
        <v>37442</v>
      </c>
      <c r="B1640" s="21">
        <v>6.57</v>
      </c>
      <c r="C1640" s="238">
        <f t="shared" si="37"/>
        <v>37438</v>
      </c>
    </row>
    <row r="1641" spans="1:3" ht="16.2" x14ac:dyDescent="0.35">
      <c r="A1641" s="20">
        <v>37449</v>
      </c>
      <c r="B1641" s="21">
        <v>6.54</v>
      </c>
      <c r="C1641" s="238">
        <f t="shared" si="37"/>
        <v>37438</v>
      </c>
    </row>
    <row r="1642" spans="1:3" ht="16.2" x14ac:dyDescent="0.35">
      <c r="A1642" s="20">
        <v>37456</v>
      </c>
      <c r="B1642" s="21">
        <v>6.49</v>
      </c>
      <c r="C1642" s="238">
        <f t="shared" si="37"/>
        <v>37438</v>
      </c>
    </row>
    <row r="1643" spans="1:3" ht="16.2" x14ac:dyDescent="0.35">
      <c r="A1643" s="20">
        <v>37463</v>
      </c>
      <c r="B1643" s="21">
        <v>6.34</v>
      </c>
      <c r="C1643" s="238">
        <f t="shared" si="37"/>
        <v>37438</v>
      </c>
    </row>
    <row r="1644" spans="1:3" ht="16.2" x14ac:dyDescent="0.35">
      <c r="A1644" s="20">
        <v>37470</v>
      </c>
      <c r="B1644" s="21">
        <v>6.43</v>
      </c>
      <c r="C1644" s="238">
        <f t="shared" si="37"/>
        <v>37469</v>
      </c>
    </row>
    <row r="1645" spans="1:3" ht="16.2" x14ac:dyDescent="0.35">
      <c r="A1645" s="20">
        <v>37477</v>
      </c>
      <c r="B1645" s="21">
        <v>6.31</v>
      </c>
      <c r="C1645" s="238">
        <f t="shared" si="37"/>
        <v>37469</v>
      </c>
    </row>
    <row r="1646" spans="1:3" ht="16.2" x14ac:dyDescent="0.35">
      <c r="A1646" s="20">
        <v>37484</v>
      </c>
      <c r="B1646" s="21">
        <v>6.22</v>
      </c>
      <c r="C1646" s="238">
        <f t="shared" si="37"/>
        <v>37469</v>
      </c>
    </row>
    <row r="1647" spans="1:3" ht="16.2" x14ac:dyDescent="0.35">
      <c r="A1647" s="20">
        <v>37491</v>
      </c>
      <c r="B1647" s="21">
        <v>6.27</v>
      </c>
      <c r="C1647" s="238">
        <f t="shared" si="37"/>
        <v>37469</v>
      </c>
    </row>
    <row r="1648" spans="1:3" ht="16.2" x14ac:dyDescent="0.35">
      <c r="A1648" s="20">
        <v>37498</v>
      </c>
      <c r="B1648" s="21">
        <v>6.22</v>
      </c>
      <c r="C1648" s="238">
        <f t="shared" si="37"/>
        <v>37469</v>
      </c>
    </row>
    <row r="1649" spans="1:3" ht="16.2" x14ac:dyDescent="0.35">
      <c r="A1649" s="20">
        <v>37505</v>
      </c>
      <c r="B1649" s="21">
        <v>6.15</v>
      </c>
      <c r="C1649" s="238">
        <f t="shared" si="37"/>
        <v>37500</v>
      </c>
    </row>
    <row r="1650" spans="1:3" ht="16.2" x14ac:dyDescent="0.35">
      <c r="A1650" s="20">
        <v>37512</v>
      </c>
      <c r="B1650" s="21">
        <v>6.18</v>
      </c>
      <c r="C1650" s="238">
        <f t="shared" si="37"/>
        <v>37500</v>
      </c>
    </row>
    <row r="1651" spans="1:3" ht="16.2" x14ac:dyDescent="0.35">
      <c r="A1651" s="20">
        <v>37519</v>
      </c>
      <c r="B1651" s="21">
        <v>6.05</v>
      </c>
      <c r="C1651" s="238">
        <f t="shared" si="37"/>
        <v>37500</v>
      </c>
    </row>
    <row r="1652" spans="1:3" ht="16.2" x14ac:dyDescent="0.35">
      <c r="A1652" s="20">
        <v>37526</v>
      </c>
      <c r="B1652" s="21">
        <v>5.99</v>
      </c>
      <c r="C1652" s="238">
        <f t="shared" si="37"/>
        <v>37500</v>
      </c>
    </row>
    <row r="1653" spans="1:3" ht="16.2" x14ac:dyDescent="0.35">
      <c r="A1653" s="20">
        <v>37533</v>
      </c>
      <c r="B1653" s="21">
        <v>6.01</v>
      </c>
      <c r="C1653" s="238">
        <f t="shared" si="37"/>
        <v>37530</v>
      </c>
    </row>
    <row r="1654" spans="1:3" ht="16.2" x14ac:dyDescent="0.35">
      <c r="A1654" s="20">
        <v>37540</v>
      </c>
      <c r="B1654" s="21">
        <v>5.98</v>
      </c>
      <c r="C1654" s="238">
        <f t="shared" si="37"/>
        <v>37530</v>
      </c>
    </row>
    <row r="1655" spans="1:3" ht="16.2" x14ac:dyDescent="0.35">
      <c r="A1655" s="20">
        <v>37547</v>
      </c>
      <c r="B1655" s="21">
        <v>6.15</v>
      </c>
      <c r="C1655" s="238">
        <f t="shared" si="37"/>
        <v>37530</v>
      </c>
    </row>
    <row r="1656" spans="1:3" ht="16.2" x14ac:dyDescent="0.35">
      <c r="A1656" s="20">
        <v>37554</v>
      </c>
      <c r="B1656" s="21">
        <v>6.31</v>
      </c>
      <c r="C1656" s="238">
        <f t="shared" si="37"/>
        <v>37530</v>
      </c>
    </row>
    <row r="1657" spans="1:3" ht="16.2" x14ac:dyDescent="0.35">
      <c r="A1657" s="20">
        <v>37561</v>
      </c>
      <c r="B1657" s="21">
        <v>6.13</v>
      </c>
      <c r="C1657" s="238">
        <f t="shared" si="37"/>
        <v>37561</v>
      </c>
    </row>
    <row r="1658" spans="1:3" ht="16.2" x14ac:dyDescent="0.35">
      <c r="A1658" s="20">
        <v>37568</v>
      </c>
      <c r="B1658" s="21">
        <v>6.11</v>
      </c>
      <c r="C1658" s="238">
        <f t="shared" si="37"/>
        <v>37561</v>
      </c>
    </row>
    <row r="1659" spans="1:3" ht="16.2" x14ac:dyDescent="0.35">
      <c r="A1659" s="20">
        <v>37575</v>
      </c>
      <c r="B1659" s="21">
        <v>5.94</v>
      </c>
      <c r="C1659" s="238">
        <f t="shared" si="37"/>
        <v>37561</v>
      </c>
    </row>
    <row r="1660" spans="1:3" ht="16.2" x14ac:dyDescent="0.35">
      <c r="A1660" s="20">
        <v>37582</v>
      </c>
      <c r="B1660" s="21">
        <v>6.03</v>
      </c>
      <c r="C1660" s="238">
        <f t="shared" si="37"/>
        <v>37561</v>
      </c>
    </row>
    <row r="1661" spans="1:3" ht="16.2" x14ac:dyDescent="0.35">
      <c r="A1661" s="20">
        <v>37589</v>
      </c>
      <c r="B1661" s="21">
        <v>6.13</v>
      </c>
      <c r="C1661" s="238">
        <f t="shared" si="37"/>
        <v>37561</v>
      </c>
    </row>
    <row r="1662" spans="1:3" ht="16.2" x14ac:dyDescent="0.35">
      <c r="A1662" s="20">
        <v>37596</v>
      </c>
      <c r="B1662" s="21">
        <v>6.19</v>
      </c>
      <c r="C1662" s="238">
        <f t="shared" si="37"/>
        <v>37591</v>
      </c>
    </row>
    <row r="1663" spans="1:3" ht="16.2" x14ac:dyDescent="0.35">
      <c r="A1663" s="20">
        <v>37603</v>
      </c>
      <c r="B1663" s="21">
        <v>6.04</v>
      </c>
      <c r="C1663" s="238">
        <f t="shared" si="37"/>
        <v>37591</v>
      </c>
    </row>
    <row r="1664" spans="1:3" ht="16.2" x14ac:dyDescent="0.35">
      <c r="A1664" s="20">
        <v>37610</v>
      </c>
      <c r="B1664" s="21">
        <v>6.03</v>
      </c>
      <c r="C1664" s="238">
        <f t="shared" si="37"/>
        <v>37591</v>
      </c>
    </row>
    <row r="1665" spans="1:3" ht="16.2" x14ac:dyDescent="0.35">
      <c r="A1665" s="20">
        <v>37617</v>
      </c>
      <c r="B1665" s="21">
        <v>5.93</v>
      </c>
      <c r="C1665" s="238">
        <f t="shared" si="37"/>
        <v>37591</v>
      </c>
    </row>
    <row r="1666" spans="1:3" ht="16.2" x14ac:dyDescent="0.35">
      <c r="A1666" s="20">
        <v>37624</v>
      </c>
      <c r="B1666" s="21">
        <v>5.85</v>
      </c>
      <c r="C1666" s="238">
        <f t="shared" si="37"/>
        <v>37622</v>
      </c>
    </row>
    <row r="1667" spans="1:3" ht="16.2" x14ac:dyDescent="0.35">
      <c r="A1667" s="20">
        <v>37631</v>
      </c>
      <c r="B1667" s="21">
        <v>5.95</v>
      </c>
      <c r="C1667" s="238">
        <f t="shared" si="37"/>
        <v>37622</v>
      </c>
    </row>
    <row r="1668" spans="1:3" ht="16.2" x14ac:dyDescent="0.35">
      <c r="A1668" s="20">
        <v>37638</v>
      </c>
      <c r="B1668" s="21">
        <v>5.97</v>
      </c>
      <c r="C1668" s="238">
        <f t="shared" si="37"/>
        <v>37622</v>
      </c>
    </row>
    <row r="1669" spans="1:3" ht="16.2" x14ac:dyDescent="0.35">
      <c r="A1669" s="20">
        <v>37645</v>
      </c>
      <c r="B1669" s="21">
        <v>5.91</v>
      </c>
      <c r="C1669" s="238">
        <f t="shared" si="37"/>
        <v>37622</v>
      </c>
    </row>
    <row r="1670" spans="1:3" ht="16.2" x14ac:dyDescent="0.35">
      <c r="A1670" s="20">
        <v>37652</v>
      </c>
      <c r="B1670" s="21">
        <v>5.9</v>
      </c>
      <c r="C1670" s="238">
        <f t="shared" si="37"/>
        <v>37622</v>
      </c>
    </row>
    <row r="1671" spans="1:3" ht="16.2" x14ac:dyDescent="0.35">
      <c r="A1671" s="20">
        <v>37659</v>
      </c>
      <c r="B1671" s="21">
        <v>5.88</v>
      </c>
      <c r="C1671" s="238">
        <f t="shared" si="37"/>
        <v>37653</v>
      </c>
    </row>
    <row r="1672" spans="1:3" ht="16.2" x14ac:dyDescent="0.35">
      <c r="A1672" s="20">
        <v>37666</v>
      </c>
      <c r="B1672" s="21">
        <v>5.86</v>
      </c>
      <c r="C1672" s="238">
        <f t="shared" si="37"/>
        <v>37653</v>
      </c>
    </row>
    <row r="1673" spans="1:3" ht="16.2" x14ac:dyDescent="0.35">
      <c r="A1673" s="20">
        <v>37673</v>
      </c>
      <c r="B1673" s="21">
        <v>5.84</v>
      </c>
      <c r="C1673" s="238">
        <f t="shared" si="37"/>
        <v>37653</v>
      </c>
    </row>
    <row r="1674" spans="1:3" ht="16.2" x14ac:dyDescent="0.35">
      <c r="A1674" s="20">
        <v>37680</v>
      </c>
      <c r="B1674" s="21">
        <v>5.79</v>
      </c>
      <c r="C1674" s="238">
        <f t="shared" si="37"/>
        <v>37653</v>
      </c>
    </row>
    <row r="1675" spans="1:3" ht="16.2" x14ac:dyDescent="0.35">
      <c r="A1675" s="20">
        <v>37687</v>
      </c>
      <c r="B1675" s="21">
        <v>5.67</v>
      </c>
      <c r="C1675" s="238">
        <f t="shared" si="37"/>
        <v>37681</v>
      </c>
    </row>
    <row r="1676" spans="1:3" ht="16.2" x14ac:dyDescent="0.35">
      <c r="A1676" s="20">
        <v>37694</v>
      </c>
      <c r="B1676" s="21">
        <v>5.61</v>
      </c>
      <c r="C1676" s="238">
        <f t="shared" si="37"/>
        <v>37681</v>
      </c>
    </row>
    <row r="1677" spans="1:3" ht="16.2" x14ac:dyDescent="0.35">
      <c r="A1677" s="20">
        <v>37701</v>
      </c>
      <c r="B1677" s="21">
        <v>5.79</v>
      </c>
      <c r="C1677" s="238">
        <f t="shared" si="37"/>
        <v>37681</v>
      </c>
    </row>
    <row r="1678" spans="1:3" ht="16.2" x14ac:dyDescent="0.35">
      <c r="A1678" s="20">
        <v>37708</v>
      </c>
      <c r="B1678" s="21">
        <v>5.91</v>
      </c>
      <c r="C1678" s="238">
        <f t="shared" si="37"/>
        <v>37681</v>
      </c>
    </row>
    <row r="1679" spans="1:3" ht="16.2" x14ac:dyDescent="0.35">
      <c r="A1679" s="20">
        <v>37715</v>
      </c>
      <c r="B1679" s="21">
        <v>5.79</v>
      </c>
      <c r="C1679" s="238">
        <f t="shared" si="37"/>
        <v>37712</v>
      </c>
    </row>
    <row r="1680" spans="1:3" ht="16.2" x14ac:dyDescent="0.35">
      <c r="A1680" s="20">
        <v>37722</v>
      </c>
      <c r="B1680" s="21">
        <v>5.85</v>
      </c>
      <c r="C1680" s="238">
        <f t="shared" ref="C1680:C1743" si="38">EOMONTH(A1680,-1)+1</f>
        <v>37712</v>
      </c>
    </row>
    <row r="1681" spans="1:3" ht="16.2" x14ac:dyDescent="0.35">
      <c r="A1681" s="20">
        <v>37729</v>
      </c>
      <c r="B1681" s="21">
        <v>5.82</v>
      </c>
      <c r="C1681" s="238">
        <f t="shared" si="38"/>
        <v>37712</v>
      </c>
    </row>
    <row r="1682" spans="1:3" ht="16.2" x14ac:dyDescent="0.35">
      <c r="A1682" s="20">
        <v>37736</v>
      </c>
      <c r="B1682" s="21">
        <v>5.79</v>
      </c>
      <c r="C1682" s="238">
        <f t="shared" si="38"/>
        <v>37712</v>
      </c>
    </row>
    <row r="1683" spans="1:3" ht="16.2" x14ac:dyDescent="0.35">
      <c r="A1683" s="20">
        <v>37743</v>
      </c>
      <c r="B1683" s="21">
        <v>5.7</v>
      </c>
      <c r="C1683" s="238">
        <f t="shared" si="38"/>
        <v>37742</v>
      </c>
    </row>
    <row r="1684" spans="1:3" ht="16.2" x14ac:dyDescent="0.35">
      <c r="A1684" s="20">
        <v>37750</v>
      </c>
      <c r="B1684" s="21">
        <v>5.62</v>
      </c>
      <c r="C1684" s="238">
        <f t="shared" si="38"/>
        <v>37742</v>
      </c>
    </row>
    <row r="1685" spans="1:3" ht="16.2" x14ac:dyDescent="0.35">
      <c r="A1685" s="20">
        <v>37757</v>
      </c>
      <c r="B1685" s="21">
        <v>5.45</v>
      </c>
      <c r="C1685" s="238">
        <f t="shared" si="38"/>
        <v>37742</v>
      </c>
    </row>
    <row r="1686" spans="1:3" ht="16.2" x14ac:dyDescent="0.35">
      <c r="A1686" s="20">
        <v>37764</v>
      </c>
      <c r="B1686" s="21">
        <v>5.34</v>
      </c>
      <c r="C1686" s="238">
        <f t="shared" si="38"/>
        <v>37742</v>
      </c>
    </row>
    <row r="1687" spans="1:3" ht="16.2" x14ac:dyDescent="0.35">
      <c r="A1687" s="20">
        <v>37771</v>
      </c>
      <c r="B1687" s="21">
        <v>5.31</v>
      </c>
      <c r="C1687" s="238">
        <f t="shared" si="38"/>
        <v>37742</v>
      </c>
    </row>
    <row r="1688" spans="1:3" ht="16.2" x14ac:dyDescent="0.35">
      <c r="A1688" s="20">
        <v>37778</v>
      </c>
      <c r="B1688" s="21">
        <v>5.26</v>
      </c>
      <c r="C1688" s="238">
        <f t="shared" si="38"/>
        <v>37773</v>
      </c>
    </row>
    <row r="1689" spans="1:3" ht="16.2" x14ac:dyDescent="0.35">
      <c r="A1689" s="20">
        <v>37785</v>
      </c>
      <c r="B1689" s="21">
        <v>5.21</v>
      </c>
      <c r="C1689" s="238">
        <f t="shared" si="38"/>
        <v>37773</v>
      </c>
    </row>
    <row r="1690" spans="1:3" ht="16.2" x14ac:dyDescent="0.35">
      <c r="A1690" s="20">
        <v>37792</v>
      </c>
      <c r="B1690" s="21">
        <v>5.21</v>
      </c>
      <c r="C1690" s="238">
        <f t="shared" si="38"/>
        <v>37773</v>
      </c>
    </row>
    <row r="1691" spans="1:3" ht="16.2" x14ac:dyDescent="0.35">
      <c r="A1691" s="20">
        <v>37799</v>
      </c>
      <c r="B1691" s="21">
        <v>5.24</v>
      </c>
      <c r="C1691" s="238">
        <f t="shared" si="38"/>
        <v>37773</v>
      </c>
    </row>
    <row r="1692" spans="1:3" ht="16.2" x14ac:dyDescent="0.35">
      <c r="A1692" s="20">
        <v>37806</v>
      </c>
      <c r="B1692" s="21">
        <v>5.4</v>
      </c>
      <c r="C1692" s="238">
        <f t="shared" si="38"/>
        <v>37803</v>
      </c>
    </row>
    <row r="1693" spans="1:3" ht="16.2" x14ac:dyDescent="0.35">
      <c r="A1693" s="20">
        <v>37813</v>
      </c>
      <c r="B1693" s="21">
        <v>5.52</v>
      </c>
      <c r="C1693" s="238">
        <f t="shared" si="38"/>
        <v>37803</v>
      </c>
    </row>
    <row r="1694" spans="1:3" ht="16.2" x14ac:dyDescent="0.35">
      <c r="A1694" s="20">
        <v>37820</v>
      </c>
      <c r="B1694" s="21">
        <v>5.67</v>
      </c>
      <c r="C1694" s="238">
        <f t="shared" si="38"/>
        <v>37803</v>
      </c>
    </row>
    <row r="1695" spans="1:3" ht="16.2" x14ac:dyDescent="0.35">
      <c r="A1695" s="20">
        <v>37827</v>
      </c>
      <c r="B1695" s="21">
        <v>5.94</v>
      </c>
      <c r="C1695" s="238">
        <f t="shared" si="38"/>
        <v>37803</v>
      </c>
    </row>
    <row r="1696" spans="1:3" ht="16.2" x14ac:dyDescent="0.35">
      <c r="A1696" s="20">
        <v>37834</v>
      </c>
      <c r="B1696" s="21">
        <v>6.14</v>
      </c>
      <c r="C1696" s="238">
        <f t="shared" si="38"/>
        <v>37834</v>
      </c>
    </row>
    <row r="1697" spans="1:3" ht="16.2" x14ac:dyDescent="0.35">
      <c r="A1697" s="20">
        <v>37841</v>
      </c>
      <c r="B1697" s="21">
        <v>6.34</v>
      </c>
      <c r="C1697" s="238">
        <f t="shared" si="38"/>
        <v>37834</v>
      </c>
    </row>
    <row r="1698" spans="1:3" ht="16.2" x14ac:dyDescent="0.35">
      <c r="A1698" s="20">
        <v>37848</v>
      </c>
      <c r="B1698" s="21">
        <v>6.24</v>
      </c>
      <c r="C1698" s="238">
        <f t="shared" si="38"/>
        <v>37834</v>
      </c>
    </row>
    <row r="1699" spans="1:3" ht="16.2" x14ac:dyDescent="0.35">
      <c r="A1699" s="20">
        <v>37855</v>
      </c>
      <c r="B1699" s="21">
        <v>6.28</v>
      </c>
      <c r="C1699" s="238">
        <f t="shared" si="38"/>
        <v>37834</v>
      </c>
    </row>
    <row r="1700" spans="1:3" ht="16.2" x14ac:dyDescent="0.35">
      <c r="A1700" s="20">
        <v>37862</v>
      </c>
      <c r="B1700" s="21">
        <v>6.32</v>
      </c>
      <c r="C1700" s="238">
        <f t="shared" si="38"/>
        <v>37834</v>
      </c>
    </row>
    <row r="1701" spans="1:3" ht="16.2" x14ac:dyDescent="0.35">
      <c r="A1701" s="20">
        <v>37869</v>
      </c>
      <c r="B1701" s="21">
        <v>6.44</v>
      </c>
      <c r="C1701" s="238">
        <f t="shared" si="38"/>
        <v>37865</v>
      </c>
    </row>
    <row r="1702" spans="1:3" ht="16.2" x14ac:dyDescent="0.35">
      <c r="A1702" s="20">
        <v>37876</v>
      </c>
      <c r="B1702" s="21">
        <v>6.16</v>
      </c>
      <c r="C1702" s="238">
        <f t="shared" si="38"/>
        <v>37865</v>
      </c>
    </row>
    <row r="1703" spans="1:3" ht="16.2" x14ac:dyDescent="0.35">
      <c r="A1703" s="20">
        <v>37883</v>
      </c>
      <c r="B1703" s="21">
        <v>6.01</v>
      </c>
      <c r="C1703" s="238">
        <f t="shared" si="38"/>
        <v>37865</v>
      </c>
    </row>
    <row r="1704" spans="1:3" ht="16.2" x14ac:dyDescent="0.35">
      <c r="A1704" s="20">
        <v>37890</v>
      </c>
      <c r="B1704" s="21">
        <v>5.98</v>
      </c>
      <c r="C1704" s="238">
        <f t="shared" si="38"/>
        <v>37865</v>
      </c>
    </row>
    <row r="1705" spans="1:3" ht="16.2" x14ac:dyDescent="0.35">
      <c r="A1705" s="20">
        <v>37897</v>
      </c>
      <c r="B1705" s="21">
        <v>5.77</v>
      </c>
      <c r="C1705" s="238">
        <f t="shared" si="38"/>
        <v>37895</v>
      </c>
    </row>
    <row r="1706" spans="1:3" ht="16.2" x14ac:dyDescent="0.35">
      <c r="A1706" s="20">
        <v>37904</v>
      </c>
      <c r="B1706" s="21">
        <v>5.95</v>
      </c>
      <c r="C1706" s="238">
        <f t="shared" si="38"/>
        <v>37895</v>
      </c>
    </row>
    <row r="1707" spans="1:3" ht="16.2" x14ac:dyDescent="0.35">
      <c r="A1707" s="20">
        <v>37911</v>
      </c>
      <c r="B1707" s="21">
        <v>6.05</v>
      </c>
      <c r="C1707" s="238">
        <f t="shared" si="38"/>
        <v>37895</v>
      </c>
    </row>
    <row r="1708" spans="1:3" ht="16.2" x14ac:dyDescent="0.35">
      <c r="A1708" s="20">
        <v>37918</v>
      </c>
      <c r="B1708" s="21">
        <v>6.05</v>
      </c>
      <c r="C1708" s="238">
        <f t="shared" si="38"/>
        <v>37895</v>
      </c>
    </row>
    <row r="1709" spans="1:3" ht="16.2" x14ac:dyDescent="0.35">
      <c r="A1709" s="20">
        <v>37925</v>
      </c>
      <c r="B1709" s="21">
        <v>5.94</v>
      </c>
      <c r="C1709" s="238">
        <f t="shared" si="38"/>
        <v>37895</v>
      </c>
    </row>
    <row r="1710" spans="1:3" ht="16.2" x14ac:dyDescent="0.35">
      <c r="A1710" s="20">
        <v>37932</v>
      </c>
      <c r="B1710" s="21">
        <v>5.98</v>
      </c>
      <c r="C1710" s="238">
        <f t="shared" si="38"/>
        <v>37926</v>
      </c>
    </row>
    <row r="1711" spans="1:3" ht="16.2" x14ac:dyDescent="0.35">
      <c r="A1711" s="20">
        <v>37939</v>
      </c>
      <c r="B1711" s="21">
        <v>6.03</v>
      </c>
      <c r="C1711" s="238">
        <f t="shared" si="38"/>
        <v>37926</v>
      </c>
    </row>
    <row r="1712" spans="1:3" ht="16.2" x14ac:dyDescent="0.35">
      <c r="A1712" s="20">
        <v>37946</v>
      </c>
      <c r="B1712" s="21">
        <v>5.83</v>
      </c>
      <c r="C1712" s="238">
        <f t="shared" si="38"/>
        <v>37926</v>
      </c>
    </row>
    <row r="1713" spans="1:3" ht="16.2" x14ac:dyDescent="0.35">
      <c r="A1713" s="20">
        <v>37953</v>
      </c>
      <c r="B1713" s="21">
        <v>5.89</v>
      </c>
      <c r="C1713" s="238">
        <f t="shared" si="38"/>
        <v>37926</v>
      </c>
    </row>
    <row r="1714" spans="1:3" ht="16.2" x14ac:dyDescent="0.35">
      <c r="A1714" s="20">
        <v>37960</v>
      </c>
      <c r="B1714" s="21">
        <v>6.02</v>
      </c>
      <c r="C1714" s="238">
        <f t="shared" si="38"/>
        <v>37956</v>
      </c>
    </row>
    <row r="1715" spans="1:3" ht="16.2" x14ac:dyDescent="0.35">
      <c r="A1715" s="20">
        <v>37967</v>
      </c>
      <c r="B1715" s="21">
        <v>5.88</v>
      </c>
      <c r="C1715" s="238">
        <f t="shared" si="38"/>
        <v>37956</v>
      </c>
    </row>
    <row r="1716" spans="1:3" ht="16.2" x14ac:dyDescent="0.35">
      <c r="A1716" s="20">
        <v>37974</v>
      </c>
      <c r="B1716" s="21">
        <v>5.82</v>
      </c>
      <c r="C1716" s="238">
        <f t="shared" si="38"/>
        <v>37956</v>
      </c>
    </row>
    <row r="1717" spans="1:3" ht="16.2" x14ac:dyDescent="0.35">
      <c r="A1717" s="20">
        <v>37981</v>
      </c>
      <c r="B1717" s="21">
        <v>5.81</v>
      </c>
      <c r="C1717" s="238">
        <f t="shared" si="38"/>
        <v>37956</v>
      </c>
    </row>
    <row r="1718" spans="1:3" ht="16.2" x14ac:dyDescent="0.35">
      <c r="A1718" s="20">
        <v>37986</v>
      </c>
      <c r="B1718" s="21">
        <v>5.85</v>
      </c>
      <c r="C1718" s="238">
        <f t="shared" si="38"/>
        <v>37956</v>
      </c>
    </row>
    <row r="1719" spans="1:3" ht="16.2" x14ac:dyDescent="0.35">
      <c r="A1719" s="20">
        <v>37994</v>
      </c>
      <c r="B1719" s="21">
        <v>5.87</v>
      </c>
      <c r="C1719" s="238">
        <f t="shared" si="38"/>
        <v>37987</v>
      </c>
    </row>
    <row r="1720" spans="1:3" ht="16.2" x14ac:dyDescent="0.35">
      <c r="A1720" s="20">
        <v>38001</v>
      </c>
      <c r="B1720" s="21">
        <v>5.66</v>
      </c>
      <c r="C1720" s="238">
        <f t="shared" si="38"/>
        <v>37987</v>
      </c>
    </row>
    <row r="1721" spans="1:3" ht="16.2" x14ac:dyDescent="0.35">
      <c r="A1721" s="20">
        <v>38008</v>
      </c>
      <c r="B1721" s="21">
        <v>5.64</v>
      </c>
      <c r="C1721" s="238">
        <f t="shared" si="38"/>
        <v>37987</v>
      </c>
    </row>
    <row r="1722" spans="1:3" ht="16.2" x14ac:dyDescent="0.35">
      <c r="A1722" s="20">
        <v>38015</v>
      </c>
      <c r="B1722" s="21">
        <v>5.68</v>
      </c>
      <c r="C1722" s="238">
        <f t="shared" si="38"/>
        <v>37987</v>
      </c>
    </row>
    <row r="1723" spans="1:3" ht="16.2" x14ac:dyDescent="0.35">
      <c r="A1723" s="20">
        <v>38022</v>
      </c>
      <c r="B1723" s="21">
        <v>5.72</v>
      </c>
      <c r="C1723" s="238">
        <f t="shared" si="38"/>
        <v>38018</v>
      </c>
    </row>
    <row r="1724" spans="1:3" ht="16.2" x14ac:dyDescent="0.35">
      <c r="A1724" s="20">
        <v>38029</v>
      </c>
      <c r="B1724" s="21">
        <v>5.66</v>
      </c>
      <c r="C1724" s="238">
        <f t="shared" si="38"/>
        <v>38018</v>
      </c>
    </row>
    <row r="1725" spans="1:3" ht="16.2" x14ac:dyDescent="0.35">
      <c r="A1725" s="20">
        <v>38036</v>
      </c>
      <c r="B1725" s="21">
        <v>5.58</v>
      </c>
      <c r="C1725" s="238">
        <f t="shared" si="38"/>
        <v>38018</v>
      </c>
    </row>
    <row r="1726" spans="1:3" ht="16.2" x14ac:dyDescent="0.35">
      <c r="A1726" s="20">
        <v>38043</v>
      </c>
      <c r="B1726" s="21">
        <v>5.58</v>
      </c>
      <c r="C1726" s="238">
        <f t="shared" si="38"/>
        <v>38018</v>
      </c>
    </row>
    <row r="1727" spans="1:3" ht="16.2" x14ac:dyDescent="0.35">
      <c r="A1727" s="20">
        <v>38050</v>
      </c>
      <c r="B1727" s="21">
        <v>5.59</v>
      </c>
      <c r="C1727" s="238">
        <f t="shared" si="38"/>
        <v>38047</v>
      </c>
    </row>
    <row r="1728" spans="1:3" ht="16.2" x14ac:dyDescent="0.35">
      <c r="A1728" s="20">
        <v>38057</v>
      </c>
      <c r="B1728" s="21">
        <v>5.41</v>
      </c>
      <c r="C1728" s="238">
        <f t="shared" si="38"/>
        <v>38047</v>
      </c>
    </row>
    <row r="1729" spans="1:3" ht="16.2" x14ac:dyDescent="0.35">
      <c r="A1729" s="20">
        <v>38064</v>
      </c>
      <c r="B1729" s="21">
        <v>5.38</v>
      </c>
      <c r="C1729" s="238">
        <f t="shared" si="38"/>
        <v>38047</v>
      </c>
    </row>
    <row r="1730" spans="1:3" ht="16.2" x14ac:dyDescent="0.35">
      <c r="A1730" s="20">
        <v>38071</v>
      </c>
      <c r="B1730" s="21">
        <v>5.4</v>
      </c>
      <c r="C1730" s="238">
        <f t="shared" si="38"/>
        <v>38047</v>
      </c>
    </row>
    <row r="1731" spans="1:3" ht="16.2" x14ac:dyDescent="0.35">
      <c r="A1731" s="20">
        <v>38078</v>
      </c>
      <c r="B1731" s="21">
        <v>5.52</v>
      </c>
      <c r="C1731" s="238">
        <f t="shared" si="38"/>
        <v>38078</v>
      </c>
    </row>
    <row r="1732" spans="1:3" ht="16.2" x14ac:dyDescent="0.35">
      <c r="A1732" s="20">
        <v>38085</v>
      </c>
      <c r="B1732" s="21">
        <v>5.79</v>
      </c>
      <c r="C1732" s="238">
        <f t="shared" si="38"/>
        <v>38078</v>
      </c>
    </row>
    <row r="1733" spans="1:3" ht="16.2" x14ac:dyDescent="0.35">
      <c r="A1733" s="20">
        <v>38092</v>
      </c>
      <c r="B1733" s="21">
        <v>5.89</v>
      </c>
      <c r="C1733" s="238">
        <f t="shared" si="38"/>
        <v>38078</v>
      </c>
    </row>
    <row r="1734" spans="1:3" ht="16.2" x14ac:dyDescent="0.35">
      <c r="A1734" s="20">
        <v>38099</v>
      </c>
      <c r="B1734" s="21">
        <v>5.94</v>
      </c>
      <c r="C1734" s="238">
        <f t="shared" si="38"/>
        <v>38078</v>
      </c>
    </row>
    <row r="1735" spans="1:3" ht="16.2" x14ac:dyDescent="0.35">
      <c r="A1735" s="20">
        <v>38106</v>
      </c>
      <c r="B1735" s="21">
        <v>6.01</v>
      </c>
      <c r="C1735" s="238">
        <f t="shared" si="38"/>
        <v>38078</v>
      </c>
    </row>
    <row r="1736" spans="1:3" ht="16.2" x14ac:dyDescent="0.35">
      <c r="A1736" s="20">
        <v>38113</v>
      </c>
      <c r="B1736" s="21">
        <v>6.12</v>
      </c>
      <c r="C1736" s="238">
        <f t="shared" si="38"/>
        <v>38108</v>
      </c>
    </row>
    <row r="1737" spans="1:3" ht="16.2" x14ac:dyDescent="0.35">
      <c r="A1737" s="20">
        <v>38120</v>
      </c>
      <c r="B1737" s="21">
        <v>6.34</v>
      </c>
      <c r="C1737" s="238">
        <f t="shared" si="38"/>
        <v>38108</v>
      </c>
    </row>
    <row r="1738" spans="1:3" ht="16.2" x14ac:dyDescent="0.35">
      <c r="A1738" s="20">
        <v>38127</v>
      </c>
      <c r="B1738" s="21">
        <v>6.3</v>
      </c>
      <c r="C1738" s="238">
        <f t="shared" si="38"/>
        <v>38108</v>
      </c>
    </row>
    <row r="1739" spans="1:3" ht="16.2" x14ac:dyDescent="0.35">
      <c r="A1739" s="20">
        <v>38134</v>
      </c>
      <c r="B1739" s="21">
        <v>6.32</v>
      </c>
      <c r="C1739" s="238">
        <f t="shared" si="38"/>
        <v>38108</v>
      </c>
    </row>
    <row r="1740" spans="1:3" ht="16.2" x14ac:dyDescent="0.35">
      <c r="A1740" s="20">
        <v>38141</v>
      </c>
      <c r="B1740" s="21">
        <v>6.28</v>
      </c>
      <c r="C1740" s="238">
        <f t="shared" si="38"/>
        <v>38139</v>
      </c>
    </row>
    <row r="1741" spans="1:3" ht="16.2" x14ac:dyDescent="0.35">
      <c r="A1741" s="20">
        <v>38148</v>
      </c>
      <c r="B1741" s="21">
        <v>6.3</v>
      </c>
      <c r="C1741" s="238">
        <f t="shared" si="38"/>
        <v>38139</v>
      </c>
    </row>
    <row r="1742" spans="1:3" ht="16.2" x14ac:dyDescent="0.35">
      <c r="A1742" s="20">
        <v>38155</v>
      </c>
      <c r="B1742" s="21">
        <v>6.32</v>
      </c>
      <c r="C1742" s="238">
        <f t="shared" si="38"/>
        <v>38139</v>
      </c>
    </row>
    <row r="1743" spans="1:3" ht="16.2" x14ac:dyDescent="0.35">
      <c r="A1743" s="20">
        <v>38162</v>
      </c>
      <c r="B1743" s="21">
        <v>6.25</v>
      </c>
      <c r="C1743" s="238">
        <f t="shared" si="38"/>
        <v>38139</v>
      </c>
    </row>
    <row r="1744" spans="1:3" ht="16.2" x14ac:dyDescent="0.35">
      <c r="A1744" s="20">
        <v>38169</v>
      </c>
      <c r="B1744" s="21">
        <v>6.21</v>
      </c>
      <c r="C1744" s="238">
        <f t="shared" ref="C1744:C1807" si="39">EOMONTH(A1744,-1)+1</f>
        <v>38169</v>
      </c>
    </row>
    <row r="1745" spans="1:3" ht="16.2" x14ac:dyDescent="0.35">
      <c r="A1745" s="20">
        <v>38176</v>
      </c>
      <c r="B1745" s="21">
        <v>6.01</v>
      </c>
      <c r="C1745" s="238">
        <f t="shared" si="39"/>
        <v>38169</v>
      </c>
    </row>
    <row r="1746" spans="1:3" ht="16.2" x14ac:dyDescent="0.35">
      <c r="A1746" s="20">
        <v>38183</v>
      </c>
      <c r="B1746" s="21">
        <v>6</v>
      </c>
      <c r="C1746" s="238">
        <f t="shared" si="39"/>
        <v>38169</v>
      </c>
    </row>
    <row r="1747" spans="1:3" ht="16.2" x14ac:dyDescent="0.35">
      <c r="A1747" s="20">
        <v>38190</v>
      </c>
      <c r="B1747" s="21">
        <v>5.98</v>
      </c>
      <c r="C1747" s="238">
        <f t="shared" si="39"/>
        <v>38169</v>
      </c>
    </row>
    <row r="1748" spans="1:3" ht="16.2" x14ac:dyDescent="0.35">
      <c r="A1748" s="20">
        <v>38197</v>
      </c>
      <c r="B1748" s="21">
        <v>6.08</v>
      </c>
      <c r="C1748" s="238">
        <f t="shared" si="39"/>
        <v>38169</v>
      </c>
    </row>
    <row r="1749" spans="1:3" ht="16.2" x14ac:dyDescent="0.35">
      <c r="A1749" s="20">
        <v>38204</v>
      </c>
      <c r="B1749" s="21">
        <v>5.99</v>
      </c>
      <c r="C1749" s="238">
        <f t="shared" si="39"/>
        <v>38200</v>
      </c>
    </row>
    <row r="1750" spans="1:3" ht="16.2" x14ac:dyDescent="0.35">
      <c r="A1750" s="20">
        <v>38211</v>
      </c>
      <c r="B1750" s="21">
        <v>5.85</v>
      </c>
      <c r="C1750" s="238">
        <f t="shared" si="39"/>
        <v>38200</v>
      </c>
    </row>
    <row r="1751" spans="1:3" ht="16.2" x14ac:dyDescent="0.35">
      <c r="A1751" s="20">
        <v>38218</v>
      </c>
      <c r="B1751" s="21">
        <v>5.81</v>
      </c>
      <c r="C1751" s="238">
        <f t="shared" si="39"/>
        <v>38200</v>
      </c>
    </row>
    <row r="1752" spans="1:3" ht="16.2" x14ac:dyDescent="0.35">
      <c r="A1752" s="20">
        <v>38225</v>
      </c>
      <c r="B1752" s="21">
        <v>5.82</v>
      </c>
      <c r="C1752" s="238">
        <f t="shared" si="39"/>
        <v>38200</v>
      </c>
    </row>
    <row r="1753" spans="1:3" ht="16.2" x14ac:dyDescent="0.35">
      <c r="A1753" s="20">
        <v>38232</v>
      </c>
      <c r="B1753" s="21">
        <v>5.77</v>
      </c>
      <c r="C1753" s="238">
        <f t="shared" si="39"/>
        <v>38231</v>
      </c>
    </row>
    <row r="1754" spans="1:3" ht="16.2" x14ac:dyDescent="0.35">
      <c r="A1754" s="20">
        <v>38239</v>
      </c>
      <c r="B1754" s="21">
        <v>5.83</v>
      </c>
      <c r="C1754" s="238">
        <f t="shared" si="39"/>
        <v>38231</v>
      </c>
    </row>
    <row r="1755" spans="1:3" ht="16.2" x14ac:dyDescent="0.35">
      <c r="A1755" s="20">
        <v>38246</v>
      </c>
      <c r="B1755" s="21">
        <v>5.75</v>
      </c>
      <c r="C1755" s="238">
        <f t="shared" si="39"/>
        <v>38231</v>
      </c>
    </row>
    <row r="1756" spans="1:3" ht="16.2" x14ac:dyDescent="0.35">
      <c r="A1756" s="20">
        <v>38253</v>
      </c>
      <c r="B1756" s="21">
        <v>5.7</v>
      </c>
      <c r="C1756" s="238">
        <f t="shared" si="39"/>
        <v>38231</v>
      </c>
    </row>
    <row r="1757" spans="1:3" ht="16.2" x14ac:dyDescent="0.35">
      <c r="A1757" s="20">
        <v>38260</v>
      </c>
      <c r="B1757" s="21">
        <v>5.72</v>
      </c>
      <c r="C1757" s="238">
        <f t="shared" si="39"/>
        <v>38231</v>
      </c>
    </row>
    <row r="1758" spans="1:3" ht="16.2" x14ac:dyDescent="0.35">
      <c r="A1758" s="20">
        <v>38267</v>
      </c>
      <c r="B1758" s="21">
        <v>5.82</v>
      </c>
      <c r="C1758" s="238">
        <f t="shared" si="39"/>
        <v>38261</v>
      </c>
    </row>
    <row r="1759" spans="1:3" ht="16.2" x14ac:dyDescent="0.35">
      <c r="A1759" s="20">
        <v>38274</v>
      </c>
      <c r="B1759" s="21">
        <v>5.74</v>
      </c>
      <c r="C1759" s="238">
        <f t="shared" si="39"/>
        <v>38261</v>
      </c>
    </row>
    <row r="1760" spans="1:3" ht="16.2" x14ac:dyDescent="0.35">
      <c r="A1760" s="20">
        <v>38281</v>
      </c>
      <c r="B1760" s="21">
        <v>5.69</v>
      </c>
      <c r="C1760" s="238">
        <f t="shared" si="39"/>
        <v>38261</v>
      </c>
    </row>
    <row r="1761" spans="1:3" ht="16.2" x14ac:dyDescent="0.35">
      <c r="A1761" s="20">
        <v>38288</v>
      </c>
      <c r="B1761" s="21">
        <v>5.64</v>
      </c>
      <c r="C1761" s="238">
        <f t="shared" si="39"/>
        <v>38261</v>
      </c>
    </row>
    <row r="1762" spans="1:3" ht="16.2" x14ac:dyDescent="0.35">
      <c r="A1762" s="20">
        <v>38295</v>
      </c>
      <c r="B1762" s="21">
        <v>5.7</v>
      </c>
      <c r="C1762" s="238">
        <f t="shared" si="39"/>
        <v>38292</v>
      </c>
    </row>
    <row r="1763" spans="1:3" ht="16.2" x14ac:dyDescent="0.35">
      <c r="A1763" s="20">
        <v>38302</v>
      </c>
      <c r="B1763" s="21">
        <v>5.76</v>
      </c>
      <c r="C1763" s="238">
        <f t="shared" si="39"/>
        <v>38292</v>
      </c>
    </row>
    <row r="1764" spans="1:3" ht="16.2" x14ac:dyDescent="0.35">
      <c r="A1764" s="20">
        <v>38309</v>
      </c>
      <c r="B1764" s="21">
        <v>5.74</v>
      </c>
      <c r="C1764" s="238">
        <f t="shared" si="39"/>
        <v>38292</v>
      </c>
    </row>
    <row r="1765" spans="1:3" ht="16.2" x14ac:dyDescent="0.35">
      <c r="A1765" s="20">
        <v>38315</v>
      </c>
      <c r="B1765" s="21">
        <v>5.72</v>
      </c>
      <c r="C1765" s="238">
        <f t="shared" si="39"/>
        <v>38292</v>
      </c>
    </row>
    <row r="1766" spans="1:3" ht="16.2" x14ac:dyDescent="0.35">
      <c r="A1766" s="20">
        <v>38323</v>
      </c>
      <c r="B1766" s="21">
        <v>5.81</v>
      </c>
      <c r="C1766" s="238">
        <f t="shared" si="39"/>
        <v>38322</v>
      </c>
    </row>
    <row r="1767" spans="1:3" ht="16.2" x14ac:dyDescent="0.35">
      <c r="A1767" s="20">
        <v>38330</v>
      </c>
      <c r="B1767" s="21">
        <v>5.71</v>
      </c>
      <c r="C1767" s="238">
        <f t="shared" si="39"/>
        <v>38322</v>
      </c>
    </row>
    <row r="1768" spans="1:3" ht="16.2" x14ac:dyDescent="0.35">
      <c r="A1768" s="20">
        <v>38337</v>
      </c>
      <c r="B1768" s="21">
        <v>5.68</v>
      </c>
      <c r="C1768" s="238">
        <f t="shared" si="39"/>
        <v>38322</v>
      </c>
    </row>
    <row r="1769" spans="1:3" ht="16.2" x14ac:dyDescent="0.35">
      <c r="A1769" s="20">
        <v>38343</v>
      </c>
      <c r="B1769" s="21">
        <v>5.75</v>
      </c>
      <c r="C1769" s="238">
        <f t="shared" si="39"/>
        <v>38322</v>
      </c>
    </row>
    <row r="1770" spans="1:3" ht="16.2" x14ac:dyDescent="0.35">
      <c r="A1770" s="20">
        <v>38350</v>
      </c>
      <c r="B1770" s="21">
        <v>5.81</v>
      </c>
      <c r="C1770" s="238">
        <f t="shared" si="39"/>
        <v>38322</v>
      </c>
    </row>
    <row r="1771" spans="1:3" ht="16.2" x14ac:dyDescent="0.35">
      <c r="A1771" s="20">
        <v>38358</v>
      </c>
      <c r="B1771" s="21">
        <v>5.77</v>
      </c>
      <c r="C1771" s="238">
        <f t="shared" si="39"/>
        <v>38353</v>
      </c>
    </row>
    <row r="1772" spans="1:3" ht="16.2" x14ac:dyDescent="0.35">
      <c r="A1772" s="20">
        <v>38365</v>
      </c>
      <c r="B1772" s="21">
        <v>5.74</v>
      </c>
      <c r="C1772" s="238">
        <f t="shared" si="39"/>
        <v>38353</v>
      </c>
    </row>
    <row r="1773" spans="1:3" ht="16.2" x14ac:dyDescent="0.35">
      <c r="A1773" s="20">
        <v>38372</v>
      </c>
      <c r="B1773" s="21">
        <v>5.67</v>
      </c>
      <c r="C1773" s="238">
        <f t="shared" si="39"/>
        <v>38353</v>
      </c>
    </row>
    <row r="1774" spans="1:3" ht="16.2" x14ac:dyDescent="0.35">
      <c r="A1774" s="20">
        <v>38379</v>
      </c>
      <c r="B1774" s="21">
        <v>5.66</v>
      </c>
      <c r="C1774" s="238">
        <f t="shared" si="39"/>
        <v>38353</v>
      </c>
    </row>
    <row r="1775" spans="1:3" ht="16.2" x14ac:dyDescent="0.35">
      <c r="A1775" s="20">
        <v>38386</v>
      </c>
      <c r="B1775" s="21">
        <v>5.63</v>
      </c>
      <c r="C1775" s="238">
        <f t="shared" si="39"/>
        <v>38384</v>
      </c>
    </row>
    <row r="1776" spans="1:3" ht="16.2" x14ac:dyDescent="0.35">
      <c r="A1776" s="20">
        <v>38393</v>
      </c>
      <c r="B1776" s="21">
        <v>5.57</v>
      </c>
      <c r="C1776" s="238">
        <f t="shared" si="39"/>
        <v>38384</v>
      </c>
    </row>
    <row r="1777" spans="1:3" ht="16.2" x14ac:dyDescent="0.35">
      <c r="A1777" s="20">
        <v>38400</v>
      </c>
      <c r="B1777" s="21">
        <v>5.62</v>
      </c>
      <c r="C1777" s="238">
        <f t="shared" si="39"/>
        <v>38384</v>
      </c>
    </row>
    <row r="1778" spans="1:3" ht="16.2" x14ac:dyDescent="0.35">
      <c r="A1778" s="20">
        <v>38407</v>
      </c>
      <c r="B1778" s="21">
        <v>5.69</v>
      </c>
      <c r="C1778" s="238">
        <f t="shared" si="39"/>
        <v>38384</v>
      </c>
    </row>
    <row r="1779" spans="1:3" ht="16.2" x14ac:dyDescent="0.35">
      <c r="A1779" s="20">
        <v>38414</v>
      </c>
      <c r="B1779" s="21">
        <v>5.79</v>
      </c>
      <c r="C1779" s="238">
        <f t="shared" si="39"/>
        <v>38412</v>
      </c>
    </row>
    <row r="1780" spans="1:3" ht="16.2" x14ac:dyDescent="0.35">
      <c r="A1780" s="20">
        <v>38421</v>
      </c>
      <c r="B1780" s="21">
        <v>5.85</v>
      </c>
      <c r="C1780" s="238">
        <f t="shared" si="39"/>
        <v>38412</v>
      </c>
    </row>
    <row r="1781" spans="1:3" ht="16.2" x14ac:dyDescent="0.35">
      <c r="A1781" s="20">
        <v>38428</v>
      </c>
      <c r="B1781" s="21">
        <v>5.95</v>
      </c>
      <c r="C1781" s="238">
        <f t="shared" si="39"/>
        <v>38412</v>
      </c>
    </row>
    <row r="1782" spans="1:3" ht="16.2" x14ac:dyDescent="0.35">
      <c r="A1782" s="20">
        <v>38435</v>
      </c>
      <c r="B1782" s="21">
        <v>6.01</v>
      </c>
      <c r="C1782" s="238">
        <f t="shared" si="39"/>
        <v>38412</v>
      </c>
    </row>
    <row r="1783" spans="1:3" ht="16.2" x14ac:dyDescent="0.35">
      <c r="A1783" s="20">
        <v>38442</v>
      </c>
      <c r="B1783" s="21">
        <v>6.04</v>
      </c>
      <c r="C1783" s="238">
        <f t="shared" si="39"/>
        <v>38412</v>
      </c>
    </row>
    <row r="1784" spans="1:3" ht="16.2" x14ac:dyDescent="0.35">
      <c r="A1784" s="20">
        <v>38449</v>
      </c>
      <c r="B1784" s="21">
        <v>5.93</v>
      </c>
      <c r="C1784" s="238">
        <f t="shared" si="39"/>
        <v>38443</v>
      </c>
    </row>
    <row r="1785" spans="1:3" ht="16.2" x14ac:dyDescent="0.35">
      <c r="A1785" s="20">
        <v>38456</v>
      </c>
      <c r="B1785" s="21">
        <v>5.91</v>
      </c>
      <c r="C1785" s="238">
        <f t="shared" si="39"/>
        <v>38443</v>
      </c>
    </row>
    <row r="1786" spans="1:3" ht="16.2" x14ac:dyDescent="0.35">
      <c r="A1786" s="20">
        <v>38463</v>
      </c>
      <c r="B1786" s="21">
        <v>5.8</v>
      </c>
      <c r="C1786" s="238">
        <f t="shared" si="39"/>
        <v>38443</v>
      </c>
    </row>
    <row r="1787" spans="1:3" ht="16.2" x14ac:dyDescent="0.35">
      <c r="A1787" s="20">
        <v>38470</v>
      </c>
      <c r="B1787" s="21">
        <v>5.78</v>
      </c>
      <c r="C1787" s="238">
        <f t="shared" si="39"/>
        <v>38443</v>
      </c>
    </row>
    <row r="1788" spans="1:3" ht="16.2" x14ac:dyDescent="0.35">
      <c r="A1788" s="20">
        <v>38477</v>
      </c>
      <c r="B1788" s="21">
        <v>5.75</v>
      </c>
      <c r="C1788" s="238">
        <f t="shared" si="39"/>
        <v>38473</v>
      </c>
    </row>
    <row r="1789" spans="1:3" ht="16.2" x14ac:dyDescent="0.35">
      <c r="A1789" s="20">
        <v>38484</v>
      </c>
      <c r="B1789" s="21">
        <v>5.77</v>
      </c>
      <c r="C1789" s="238">
        <f t="shared" si="39"/>
        <v>38473</v>
      </c>
    </row>
    <row r="1790" spans="1:3" ht="16.2" x14ac:dyDescent="0.35">
      <c r="A1790" s="20">
        <v>38491</v>
      </c>
      <c r="B1790" s="21">
        <v>5.71</v>
      </c>
      <c r="C1790" s="238">
        <f t="shared" si="39"/>
        <v>38473</v>
      </c>
    </row>
    <row r="1791" spans="1:3" ht="16.2" x14ac:dyDescent="0.35">
      <c r="A1791" s="20">
        <v>38498</v>
      </c>
      <c r="B1791" s="21">
        <v>5.65</v>
      </c>
      <c r="C1791" s="238">
        <f t="shared" si="39"/>
        <v>38473</v>
      </c>
    </row>
    <row r="1792" spans="1:3" ht="16.2" x14ac:dyDescent="0.35">
      <c r="A1792" s="20">
        <v>38505</v>
      </c>
      <c r="B1792" s="21">
        <v>5.62</v>
      </c>
      <c r="C1792" s="238">
        <f t="shared" si="39"/>
        <v>38504</v>
      </c>
    </row>
    <row r="1793" spans="1:3" ht="16.2" x14ac:dyDescent="0.35">
      <c r="A1793" s="20">
        <v>38512</v>
      </c>
      <c r="B1793" s="21">
        <v>5.56</v>
      </c>
      <c r="C1793" s="238">
        <f t="shared" si="39"/>
        <v>38504</v>
      </c>
    </row>
    <row r="1794" spans="1:3" ht="16.2" x14ac:dyDescent="0.35">
      <c r="A1794" s="20">
        <v>38519</v>
      </c>
      <c r="B1794" s="21">
        <v>5.63</v>
      </c>
      <c r="C1794" s="238">
        <f t="shared" si="39"/>
        <v>38504</v>
      </c>
    </row>
    <row r="1795" spans="1:3" ht="16.2" x14ac:dyDescent="0.35">
      <c r="A1795" s="20">
        <v>38526</v>
      </c>
      <c r="B1795" s="21">
        <v>5.57</v>
      </c>
      <c r="C1795" s="238">
        <f t="shared" si="39"/>
        <v>38504</v>
      </c>
    </row>
    <row r="1796" spans="1:3" ht="16.2" x14ac:dyDescent="0.35">
      <c r="A1796" s="20">
        <v>38533</v>
      </c>
      <c r="B1796" s="21">
        <v>5.53</v>
      </c>
      <c r="C1796" s="238">
        <f t="shared" si="39"/>
        <v>38504</v>
      </c>
    </row>
    <row r="1797" spans="1:3" ht="16.2" x14ac:dyDescent="0.35">
      <c r="A1797" s="20">
        <v>38540</v>
      </c>
      <c r="B1797" s="21">
        <v>5.62</v>
      </c>
      <c r="C1797" s="238">
        <f t="shared" si="39"/>
        <v>38534</v>
      </c>
    </row>
    <row r="1798" spans="1:3" ht="16.2" x14ac:dyDescent="0.35">
      <c r="A1798" s="20">
        <v>38547</v>
      </c>
      <c r="B1798" s="21">
        <v>5.66</v>
      </c>
      <c r="C1798" s="238">
        <f t="shared" si="39"/>
        <v>38534</v>
      </c>
    </row>
    <row r="1799" spans="1:3" ht="16.2" x14ac:dyDescent="0.35">
      <c r="A1799" s="20">
        <v>38554</v>
      </c>
      <c r="B1799" s="21">
        <v>5.73</v>
      </c>
      <c r="C1799" s="238">
        <f t="shared" si="39"/>
        <v>38534</v>
      </c>
    </row>
    <row r="1800" spans="1:3" ht="16.2" x14ac:dyDescent="0.35">
      <c r="A1800" s="20">
        <v>38561</v>
      </c>
      <c r="B1800" s="21">
        <v>5.77</v>
      </c>
      <c r="C1800" s="238">
        <f t="shared" si="39"/>
        <v>38534</v>
      </c>
    </row>
    <row r="1801" spans="1:3" ht="16.2" x14ac:dyDescent="0.35">
      <c r="A1801" s="20">
        <v>38568</v>
      </c>
      <c r="B1801" s="21">
        <v>5.82</v>
      </c>
      <c r="C1801" s="238">
        <f t="shared" si="39"/>
        <v>38565</v>
      </c>
    </row>
    <row r="1802" spans="1:3" ht="16.2" x14ac:dyDescent="0.35">
      <c r="A1802" s="20">
        <v>38575</v>
      </c>
      <c r="B1802" s="21">
        <v>5.89</v>
      </c>
      <c r="C1802" s="238">
        <f t="shared" si="39"/>
        <v>38565</v>
      </c>
    </row>
    <row r="1803" spans="1:3" ht="16.2" x14ac:dyDescent="0.35">
      <c r="A1803" s="20">
        <v>38582</v>
      </c>
      <c r="B1803" s="21">
        <v>5.8</v>
      </c>
      <c r="C1803" s="238">
        <f t="shared" si="39"/>
        <v>38565</v>
      </c>
    </row>
    <row r="1804" spans="1:3" ht="16.2" x14ac:dyDescent="0.35">
      <c r="A1804" s="20">
        <v>38589</v>
      </c>
      <c r="B1804" s="21">
        <v>5.77</v>
      </c>
      <c r="C1804" s="238">
        <f t="shared" si="39"/>
        <v>38565</v>
      </c>
    </row>
    <row r="1805" spans="1:3" ht="16.2" x14ac:dyDescent="0.35">
      <c r="A1805" s="20">
        <v>38596</v>
      </c>
      <c r="B1805" s="21">
        <v>5.71</v>
      </c>
      <c r="C1805" s="238">
        <f t="shared" si="39"/>
        <v>38596</v>
      </c>
    </row>
    <row r="1806" spans="1:3" ht="16.2" x14ac:dyDescent="0.35">
      <c r="A1806" s="20">
        <v>38603</v>
      </c>
      <c r="B1806" s="21">
        <v>5.71</v>
      </c>
      <c r="C1806" s="238">
        <f t="shared" si="39"/>
        <v>38596</v>
      </c>
    </row>
    <row r="1807" spans="1:3" ht="16.2" x14ac:dyDescent="0.35">
      <c r="A1807" s="20">
        <v>38610</v>
      </c>
      <c r="B1807" s="21">
        <v>5.74</v>
      </c>
      <c r="C1807" s="238">
        <f t="shared" si="39"/>
        <v>38596</v>
      </c>
    </row>
    <row r="1808" spans="1:3" ht="16.2" x14ac:dyDescent="0.35">
      <c r="A1808" s="20">
        <v>38617</v>
      </c>
      <c r="B1808" s="21">
        <v>5.8</v>
      </c>
      <c r="C1808" s="238">
        <f t="shared" ref="C1808:C1871" si="40">EOMONTH(A1808,-1)+1</f>
        <v>38596</v>
      </c>
    </row>
    <row r="1809" spans="1:3" ht="16.2" x14ac:dyDescent="0.35">
      <c r="A1809" s="20">
        <v>38624</v>
      </c>
      <c r="B1809" s="21">
        <v>5.91</v>
      </c>
      <c r="C1809" s="238">
        <f t="shared" si="40"/>
        <v>38596</v>
      </c>
    </row>
    <row r="1810" spans="1:3" ht="16.2" x14ac:dyDescent="0.35">
      <c r="A1810" s="20">
        <v>38631</v>
      </c>
      <c r="B1810" s="21">
        <v>5.98</v>
      </c>
      <c r="C1810" s="238">
        <f t="shared" si="40"/>
        <v>38626</v>
      </c>
    </row>
    <row r="1811" spans="1:3" ht="16.2" x14ac:dyDescent="0.35">
      <c r="A1811" s="20">
        <v>38638</v>
      </c>
      <c r="B1811" s="21">
        <v>6.03</v>
      </c>
      <c r="C1811" s="238">
        <f t="shared" si="40"/>
        <v>38626</v>
      </c>
    </row>
    <row r="1812" spans="1:3" ht="16.2" x14ac:dyDescent="0.35">
      <c r="A1812" s="20">
        <v>38645</v>
      </c>
      <c r="B1812" s="21">
        <v>6.1</v>
      </c>
      <c r="C1812" s="238">
        <f t="shared" si="40"/>
        <v>38626</v>
      </c>
    </row>
    <row r="1813" spans="1:3" ht="16.2" x14ac:dyDescent="0.35">
      <c r="A1813" s="20">
        <v>38652</v>
      </c>
      <c r="B1813" s="21">
        <v>6.15</v>
      </c>
      <c r="C1813" s="238">
        <f t="shared" si="40"/>
        <v>38626</v>
      </c>
    </row>
    <row r="1814" spans="1:3" ht="16.2" x14ac:dyDescent="0.35">
      <c r="A1814" s="20">
        <v>38659</v>
      </c>
      <c r="B1814" s="21">
        <v>6.31</v>
      </c>
      <c r="C1814" s="238">
        <f t="shared" si="40"/>
        <v>38657</v>
      </c>
    </row>
    <row r="1815" spans="1:3" ht="16.2" x14ac:dyDescent="0.35">
      <c r="A1815" s="20">
        <v>38666</v>
      </c>
      <c r="B1815" s="21">
        <v>6.36</v>
      </c>
      <c r="C1815" s="238">
        <f t="shared" si="40"/>
        <v>38657</v>
      </c>
    </row>
    <row r="1816" spans="1:3" ht="16.2" x14ac:dyDescent="0.35">
      <c r="A1816" s="20">
        <v>38673</v>
      </c>
      <c r="B1816" s="21">
        <v>6.37</v>
      </c>
      <c r="C1816" s="238">
        <f t="shared" si="40"/>
        <v>38657</v>
      </c>
    </row>
    <row r="1817" spans="1:3" ht="16.2" x14ac:dyDescent="0.35">
      <c r="A1817" s="20">
        <v>38679</v>
      </c>
      <c r="B1817" s="21">
        <v>6.28</v>
      </c>
      <c r="C1817" s="238">
        <f t="shared" si="40"/>
        <v>38657</v>
      </c>
    </row>
    <row r="1818" spans="1:3" ht="16.2" x14ac:dyDescent="0.35">
      <c r="A1818" s="20">
        <v>38687</v>
      </c>
      <c r="B1818" s="21">
        <v>6.26</v>
      </c>
      <c r="C1818" s="238">
        <f t="shared" si="40"/>
        <v>38687</v>
      </c>
    </row>
    <row r="1819" spans="1:3" ht="16.2" x14ac:dyDescent="0.35">
      <c r="A1819" s="20">
        <v>38694</v>
      </c>
      <c r="B1819" s="21">
        <v>6.32</v>
      </c>
      <c r="C1819" s="238">
        <f t="shared" si="40"/>
        <v>38687</v>
      </c>
    </row>
    <row r="1820" spans="1:3" ht="16.2" x14ac:dyDescent="0.35">
      <c r="A1820" s="20">
        <v>38701</v>
      </c>
      <c r="B1820" s="21">
        <v>6.3</v>
      </c>
      <c r="C1820" s="238">
        <f t="shared" si="40"/>
        <v>38687</v>
      </c>
    </row>
    <row r="1821" spans="1:3" ht="16.2" x14ac:dyDescent="0.35">
      <c r="A1821" s="20">
        <v>38708</v>
      </c>
      <c r="B1821" s="21">
        <v>6.26</v>
      </c>
      <c r="C1821" s="238">
        <f t="shared" si="40"/>
        <v>38687</v>
      </c>
    </row>
    <row r="1822" spans="1:3" ht="16.2" x14ac:dyDescent="0.35">
      <c r="A1822" s="20">
        <v>38715</v>
      </c>
      <c r="B1822" s="21">
        <v>6.22</v>
      </c>
      <c r="C1822" s="238">
        <f t="shared" si="40"/>
        <v>38687</v>
      </c>
    </row>
    <row r="1823" spans="1:3" ht="16.2" x14ac:dyDescent="0.35">
      <c r="A1823" s="20">
        <v>38722</v>
      </c>
      <c r="B1823" s="21">
        <v>6.21</v>
      </c>
      <c r="C1823" s="238">
        <f t="shared" si="40"/>
        <v>38718</v>
      </c>
    </row>
    <row r="1824" spans="1:3" ht="16.2" x14ac:dyDescent="0.35">
      <c r="A1824" s="20">
        <v>38729</v>
      </c>
      <c r="B1824" s="21">
        <v>6.15</v>
      </c>
      <c r="C1824" s="238">
        <f t="shared" si="40"/>
        <v>38718</v>
      </c>
    </row>
    <row r="1825" spans="1:3" ht="16.2" x14ac:dyDescent="0.35">
      <c r="A1825" s="20">
        <v>38736</v>
      </c>
      <c r="B1825" s="21">
        <v>6.1</v>
      </c>
      <c r="C1825" s="238">
        <f t="shared" si="40"/>
        <v>38718</v>
      </c>
    </row>
    <row r="1826" spans="1:3" ht="16.2" x14ac:dyDescent="0.35">
      <c r="A1826" s="20">
        <v>38743</v>
      </c>
      <c r="B1826" s="21">
        <v>6.12</v>
      </c>
      <c r="C1826" s="238">
        <f t="shared" si="40"/>
        <v>38718</v>
      </c>
    </row>
    <row r="1827" spans="1:3" ht="16.2" x14ac:dyDescent="0.35">
      <c r="A1827" s="20">
        <v>38750</v>
      </c>
      <c r="B1827" s="21">
        <v>6.23</v>
      </c>
      <c r="C1827" s="238">
        <f t="shared" si="40"/>
        <v>38749</v>
      </c>
    </row>
    <row r="1828" spans="1:3" ht="16.2" x14ac:dyDescent="0.35">
      <c r="A1828" s="20">
        <v>38757</v>
      </c>
      <c r="B1828" s="21">
        <v>6.24</v>
      </c>
      <c r="C1828" s="238">
        <f t="shared" si="40"/>
        <v>38749</v>
      </c>
    </row>
    <row r="1829" spans="1:3" ht="16.2" x14ac:dyDescent="0.35">
      <c r="A1829" s="20">
        <v>38764</v>
      </c>
      <c r="B1829" s="21">
        <v>6.28</v>
      </c>
      <c r="C1829" s="238">
        <f t="shared" si="40"/>
        <v>38749</v>
      </c>
    </row>
    <row r="1830" spans="1:3" ht="16.2" x14ac:dyDescent="0.35">
      <c r="A1830" s="20">
        <v>38771</v>
      </c>
      <c r="B1830" s="21">
        <v>6.26</v>
      </c>
      <c r="C1830" s="238">
        <f t="shared" si="40"/>
        <v>38749</v>
      </c>
    </row>
    <row r="1831" spans="1:3" ht="16.2" x14ac:dyDescent="0.35">
      <c r="A1831" s="20">
        <v>38778</v>
      </c>
      <c r="B1831" s="21">
        <v>6.24</v>
      </c>
      <c r="C1831" s="238">
        <f t="shared" si="40"/>
        <v>38777</v>
      </c>
    </row>
    <row r="1832" spans="1:3" ht="16.2" x14ac:dyDescent="0.35">
      <c r="A1832" s="20">
        <v>38785</v>
      </c>
      <c r="B1832" s="21">
        <v>6.37</v>
      </c>
      <c r="C1832" s="238">
        <f t="shared" si="40"/>
        <v>38777</v>
      </c>
    </row>
    <row r="1833" spans="1:3" ht="16.2" x14ac:dyDescent="0.35">
      <c r="A1833" s="20">
        <v>38792</v>
      </c>
      <c r="B1833" s="21">
        <v>6.34</v>
      </c>
      <c r="C1833" s="238">
        <f t="shared" si="40"/>
        <v>38777</v>
      </c>
    </row>
    <row r="1834" spans="1:3" ht="16.2" x14ac:dyDescent="0.35">
      <c r="A1834" s="20">
        <v>38799</v>
      </c>
      <c r="B1834" s="21">
        <v>6.32</v>
      </c>
      <c r="C1834" s="238">
        <f t="shared" si="40"/>
        <v>38777</v>
      </c>
    </row>
    <row r="1835" spans="1:3" ht="16.2" x14ac:dyDescent="0.35">
      <c r="A1835" s="20">
        <v>38806</v>
      </c>
      <c r="B1835" s="21">
        <v>6.35</v>
      </c>
      <c r="C1835" s="238">
        <f t="shared" si="40"/>
        <v>38777</v>
      </c>
    </row>
    <row r="1836" spans="1:3" ht="16.2" x14ac:dyDescent="0.35">
      <c r="A1836" s="20">
        <v>38813</v>
      </c>
      <c r="B1836" s="21">
        <v>6.43</v>
      </c>
      <c r="C1836" s="238">
        <f t="shared" si="40"/>
        <v>38808</v>
      </c>
    </row>
    <row r="1837" spans="1:3" ht="16.2" x14ac:dyDescent="0.35">
      <c r="A1837" s="20">
        <v>38820</v>
      </c>
      <c r="B1837" s="21">
        <v>6.49</v>
      </c>
      <c r="C1837" s="238">
        <f t="shared" si="40"/>
        <v>38808</v>
      </c>
    </row>
    <row r="1838" spans="1:3" ht="16.2" x14ac:dyDescent="0.35">
      <c r="A1838" s="20">
        <v>38827</v>
      </c>
      <c r="B1838" s="21">
        <v>6.53</v>
      </c>
      <c r="C1838" s="238">
        <f t="shared" si="40"/>
        <v>38808</v>
      </c>
    </row>
    <row r="1839" spans="1:3" ht="16.2" x14ac:dyDescent="0.35">
      <c r="A1839" s="20">
        <v>38834</v>
      </c>
      <c r="B1839" s="21">
        <v>6.58</v>
      </c>
      <c r="C1839" s="238">
        <f t="shared" si="40"/>
        <v>38808</v>
      </c>
    </row>
    <row r="1840" spans="1:3" ht="16.2" x14ac:dyDescent="0.35">
      <c r="A1840" s="20">
        <v>38841</v>
      </c>
      <c r="B1840" s="21">
        <v>6.59</v>
      </c>
      <c r="C1840" s="238">
        <f t="shared" si="40"/>
        <v>38838</v>
      </c>
    </row>
    <row r="1841" spans="1:3" ht="16.2" x14ac:dyDescent="0.35">
      <c r="A1841" s="20">
        <v>38848</v>
      </c>
      <c r="B1841" s="21">
        <v>6.58</v>
      </c>
      <c r="C1841" s="238">
        <f t="shared" si="40"/>
        <v>38838</v>
      </c>
    </row>
    <row r="1842" spans="1:3" ht="16.2" x14ac:dyDescent="0.35">
      <c r="A1842" s="20">
        <v>38855</v>
      </c>
      <c r="B1842" s="21">
        <v>6.6</v>
      </c>
      <c r="C1842" s="238">
        <f t="shared" si="40"/>
        <v>38838</v>
      </c>
    </row>
    <row r="1843" spans="1:3" ht="16.2" x14ac:dyDescent="0.35">
      <c r="A1843" s="20">
        <v>38862</v>
      </c>
      <c r="B1843" s="21">
        <v>6.62</v>
      </c>
      <c r="C1843" s="238">
        <f t="shared" si="40"/>
        <v>38838</v>
      </c>
    </row>
    <row r="1844" spans="1:3" ht="16.2" x14ac:dyDescent="0.35">
      <c r="A1844" s="20">
        <v>38869</v>
      </c>
      <c r="B1844" s="21">
        <v>6.67</v>
      </c>
      <c r="C1844" s="238">
        <f t="shared" si="40"/>
        <v>38869</v>
      </c>
    </row>
    <row r="1845" spans="1:3" ht="16.2" x14ac:dyDescent="0.35">
      <c r="A1845" s="20">
        <v>38876</v>
      </c>
      <c r="B1845" s="21">
        <v>6.62</v>
      </c>
      <c r="C1845" s="238">
        <f t="shared" si="40"/>
        <v>38869</v>
      </c>
    </row>
    <row r="1846" spans="1:3" ht="16.2" x14ac:dyDescent="0.35">
      <c r="A1846" s="20">
        <v>38883</v>
      </c>
      <c r="B1846" s="21">
        <v>6.63</v>
      </c>
      <c r="C1846" s="238">
        <f t="shared" si="40"/>
        <v>38869</v>
      </c>
    </row>
    <row r="1847" spans="1:3" ht="16.2" x14ac:dyDescent="0.35">
      <c r="A1847" s="20">
        <v>38890</v>
      </c>
      <c r="B1847" s="21">
        <v>6.71</v>
      </c>
      <c r="C1847" s="238">
        <f t="shared" si="40"/>
        <v>38869</v>
      </c>
    </row>
    <row r="1848" spans="1:3" ht="16.2" x14ac:dyDescent="0.35">
      <c r="A1848" s="20">
        <v>38897</v>
      </c>
      <c r="B1848" s="21">
        <v>6.78</v>
      </c>
      <c r="C1848" s="238">
        <f t="shared" si="40"/>
        <v>38869</v>
      </c>
    </row>
    <row r="1849" spans="1:3" ht="16.2" x14ac:dyDescent="0.35">
      <c r="A1849" s="20">
        <v>38904</v>
      </c>
      <c r="B1849" s="21">
        <v>6.79</v>
      </c>
      <c r="C1849" s="238">
        <f t="shared" si="40"/>
        <v>38899</v>
      </c>
    </row>
    <row r="1850" spans="1:3" ht="16.2" x14ac:dyDescent="0.35">
      <c r="A1850" s="20">
        <v>38911</v>
      </c>
      <c r="B1850" s="21">
        <v>6.74</v>
      </c>
      <c r="C1850" s="238">
        <f t="shared" si="40"/>
        <v>38899</v>
      </c>
    </row>
    <row r="1851" spans="1:3" ht="16.2" x14ac:dyDescent="0.35">
      <c r="A1851" s="20">
        <v>38918</v>
      </c>
      <c r="B1851" s="21">
        <v>6.8</v>
      </c>
      <c r="C1851" s="238">
        <f t="shared" si="40"/>
        <v>38899</v>
      </c>
    </row>
    <row r="1852" spans="1:3" ht="16.2" x14ac:dyDescent="0.35">
      <c r="A1852" s="20">
        <v>38925</v>
      </c>
      <c r="B1852" s="21">
        <v>6.72</v>
      </c>
      <c r="C1852" s="238">
        <f t="shared" si="40"/>
        <v>38899</v>
      </c>
    </row>
    <row r="1853" spans="1:3" ht="16.2" x14ac:dyDescent="0.35">
      <c r="A1853" s="20">
        <v>38932</v>
      </c>
      <c r="B1853" s="21">
        <v>6.63</v>
      </c>
      <c r="C1853" s="238">
        <f t="shared" si="40"/>
        <v>38930</v>
      </c>
    </row>
    <row r="1854" spans="1:3" ht="16.2" x14ac:dyDescent="0.35">
      <c r="A1854" s="20">
        <v>38939</v>
      </c>
      <c r="B1854" s="21">
        <v>6.55</v>
      </c>
      <c r="C1854" s="238">
        <f t="shared" si="40"/>
        <v>38930</v>
      </c>
    </row>
    <row r="1855" spans="1:3" ht="16.2" x14ac:dyDescent="0.35">
      <c r="A1855" s="20">
        <v>38946</v>
      </c>
      <c r="B1855" s="21">
        <v>6.52</v>
      </c>
      <c r="C1855" s="238">
        <f t="shared" si="40"/>
        <v>38930</v>
      </c>
    </row>
    <row r="1856" spans="1:3" ht="16.2" x14ac:dyDescent="0.35">
      <c r="A1856" s="20">
        <v>38953</v>
      </c>
      <c r="B1856" s="21">
        <v>6.48</v>
      </c>
      <c r="C1856" s="238">
        <f t="shared" si="40"/>
        <v>38930</v>
      </c>
    </row>
    <row r="1857" spans="1:3" ht="16.2" x14ac:dyDescent="0.35">
      <c r="A1857" s="20">
        <v>38960</v>
      </c>
      <c r="B1857" s="21">
        <v>6.44</v>
      </c>
      <c r="C1857" s="238">
        <f t="shared" si="40"/>
        <v>38930</v>
      </c>
    </row>
    <row r="1858" spans="1:3" ht="16.2" x14ac:dyDescent="0.35">
      <c r="A1858" s="20">
        <v>38967</v>
      </c>
      <c r="B1858" s="21">
        <v>6.47</v>
      </c>
      <c r="C1858" s="238">
        <f t="shared" si="40"/>
        <v>38961</v>
      </c>
    </row>
    <row r="1859" spans="1:3" ht="16.2" x14ac:dyDescent="0.35">
      <c r="A1859" s="20">
        <v>38974</v>
      </c>
      <c r="B1859" s="21">
        <v>6.43</v>
      </c>
      <c r="C1859" s="238">
        <f t="shared" si="40"/>
        <v>38961</v>
      </c>
    </row>
    <row r="1860" spans="1:3" ht="16.2" x14ac:dyDescent="0.35">
      <c r="A1860" s="20">
        <v>38981</v>
      </c>
      <c r="B1860" s="21">
        <v>6.4</v>
      </c>
      <c r="C1860" s="238">
        <f t="shared" si="40"/>
        <v>38961</v>
      </c>
    </row>
    <row r="1861" spans="1:3" ht="16.2" x14ac:dyDescent="0.35">
      <c r="A1861" s="20">
        <v>38988</v>
      </c>
      <c r="B1861" s="21">
        <v>6.31</v>
      </c>
      <c r="C1861" s="238">
        <f t="shared" si="40"/>
        <v>38961</v>
      </c>
    </row>
    <row r="1862" spans="1:3" ht="16.2" x14ac:dyDescent="0.35">
      <c r="A1862" s="20">
        <v>38995</v>
      </c>
      <c r="B1862" s="21">
        <v>6.3</v>
      </c>
      <c r="C1862" s="238">
        <f t="shared" si="40"/>
        <v>38991</v>
      </c>
    </row>
    <row r="1863" spans="1:3" ht="16.2" x14ac:dyDescent="0.35">
      <c r="A1863" s="20">
        <v>39002</v>
      </c>
      <c r="B1863" s="21">
        <v>6.37</v>
      </c>
      <c r="C1863" s="238">
        <f t="shared" si="40"/>
        <v>38991</v>
      </c>
    </row>
    <row r="1864" spans="1:3" ht="16.2" x14ac:dyDescent="0.35">
      <c r="A1864" s="20">
        <v>39009</v>
      </c>
      <c r="B1864" s="21">
        <v>6.36</v>
      </c>
      <c r="C1864" s="238">
        <f t="shared" si="40"/>
        <v>38991</v>
      </c>
    </row>
    <row r="1865" spans="1:3" ht="16.2" x14ac:dyDescent="0.35">
      <c r="A1865" s="20">
        <v>39016</v>
      </c>
      <c r="B1865" s="21">
        <v>6.4</v>
      </c>
      <c r="C1865" s="238">
        <f t="shared" si="40"/>
        <v>38991</v>
      </c>
    </row>
    <row r="1866" spans="1:3" ht="16.2" x14ac:dyDescent="0.35">
      <c r="A1866" s="20">
        <v>39023</v>
      </c>
      <c r="B1866" s="21">
        <v>6.31</v>
      </c>
      <c r="C1866" s="238">
        <f t="shared" si="40"/>
        <v>39022</v>
      </c>
    </row>
    <row r="1867" spans="1:3" ht="16.2" x14ac:dyDescent="0.35">
      <c r="A1867" s="20">
        <v>39030</v>
      </c>
      <c r="B1867" s="21">
        <v>6.33</v>
      </c>
      <c r="C1867" s="238">
        <f t="shared" si="40"/>
        <v>39022</v>
      </c>
    </row>
    <row r="1868" spans="1:3" ht="16.2" x14ac:dyDescent="0.35">
      <c r="A1868" s="20">
        <v>39037</v>
      </c>
      <c r="B1868" s="21">
        <v>6.24</v>
      </c>
      <c r="C1868" s="238">
        <f t="shared" si="40"/>
        <v>39022</v>
      </c>
    </row>
    <row r="1869" spans="1:3" ht="16.2" x14ac:dyDescent="0.35">
      <c r="A1869" s="20">
        <v>39043</v>
      </c>
      <c r="B1869" s="21">
        <v>6.18</v>
      </c>
      <c r="C1869" s="238">
        <f t="shared" si="40"/>
        <v>39022</v>
      </c>
    </row>
    <row r="1870" spans="1:3" ht="16.2" x14ac:dyDescent="0.35">
      <c r="A1870" s="20">
        <v>39051</v>
      </c>
      <c r="B1870" s="21">
        <v>6.14</v>
      </c>
      <c r="C1870" s="238">
        <f t="shared" si="40"/>
        <v>39022</v>
      </c>
    </row>
    <row r="1871" spans="1:3" ht="16.2" x14ac:dyDescent="0.35">
      <c r="A1871" s="20">
        <v>39058</v>
      </c>
      <c r="B1871" s="21">
        <v>6.11</v>
      </c>
      <c r="C1871" s="238">
        <f t="shared" si="40"/>
        <v>39052</v>
      </c>
    </row>
    <row r="1872" spans="1:3" ht="16.2" x14ac:dyDescent="0.35">
      <c r="A1872" s="20">
        <v>39065</v>
      </c>
      <c r="B1872" s="21">
        <v>6.12</v>
      </c>
      <c r="C1872" s="238">
        <f t="shared" ref="C1872:C1935" si="41">EOMONTH(A1872,-1)+1</f>
        <v>39052</v>
      </c>
    </row>
    <row r="1873" spans="1:3" ht="16.2" x14ac:dyDescent="0.35">
      <c r="A1873" s="20">
        <v>39072</v>
      </c>
      <c r="B1873" s="21">
        <v>6.13</v>
      </c>
      <c r="C1873" s="238">
        <f t="shared" si="41"/>
        <v>39052</v>
      </c>
    </row>
    <row r="1874" spans="1:3" ht="16.2" x14ac:dyDescent="0.35">
      <c r="A1874" s="20">
        <v>39079</v>
      </c>
      <c r="B1874" s="21">
        <v>6.18</v>
      </c>
      <c r="C1874" s="238">
        <f t="shared" si="41"/>
        <v>39052</v>
      </c>
    </row>
    <row r="1875" spans="1:3" ht="16.2" x14ac:dyDescent="0.35">
      <c r="A1875" s="20">
        <v>39086</v>
      </c>
      <c r="B1875" s="21">
        <v>6.18</v>
      </c>
      <c r="C1875" s="238">
        <f t="shared" si="41"/>
        <v>39083</v>
      </c>
    </row>
    <row r="1876" spans="1:3" ht="16.2" x14ac:dyDescent="0.35">
      <c r="A1876" s="20">
        <v>39093</v>
      </c>
      <c r="B1876" s="21">
        <v>6.21</v>
      </c>
      <c r="C1876" s="238">
        <f t="shared" si="41"/>
        <v>39083</v>
      </c>
    </row>
    <row r="1877" spans="1:3" ht="16.2" x14ac:dyDescent="0.35">
      <c r="A1877" s="20">
        <v>39100</v>
      </c>
      <c r="B1877" s="21">
        <v>6.23</v>
      </c>
      <c r="C1877" s="238">
        <f t="shared" si="41"/>
        <v>39083</v>
      </c>
    </row>
    <row r="1878" spans="1:3" ht="16.2" x14ac:dyDescent="0.35">
      <c r="A1878" s="20">
        <v>39107</v>
      </c>
      <c r="B1878" s="21">
        <v>6.25</v>
      </c>
      <c r="C1878" s="238">
        <f t="shared" si="41"/>
        <v>39083</v>
      </c>
    </row>
    <row r="1879" spans="1:3" ht="16.2" x14ac:dyDescent="0.35">
      <c r="A1879" s="20">
        <v>39114</v>
      </c>
      <c r="B1879" s="21">
        <v>6.34</v>
      </c>
      <c r="C1879" s="238">
        <f t="shared" si="41"/>
        <v>39114</v>
      </c>
    </row>
    <row r="1880" spans="1:3" ht="16.2" x14ac:dyDescent="0.35">
      <c r="A1880" s="20">
        <v>39121</v>
      </c>
      <c r="B1880" s="21">
        <v>6.28</v>
      </c>
      <c r="C1880" s="238">
        <f t="shared" si="41"/>
        <v>39114</v>
      </c>
    </row>
    <row r="1881" spans="1:3" ht="16.2" x14ac:dyDescent="0.35">
      <c r="A1881" s="20">
        <v>39128</v>
      </c>
      <c r="B1881" s="21">
        <v>6.3</v>
      </c>
      <c r="C1881" s="238">
        <f t="shared" si="41"/>
        <v>39114</v>
      </c>
    </row>
    <row r="1882" spans="1:3" ht="16.2" x14ac:dyDescent="0.35">
      <c r="A1882" s="20">
        <v>39135</v>
      </c>
      <c r="B1882" s="21">
        <v>6.22</v>
      </c>
      <c r="C1882" s="238">
        <f t="shared" si="41"/>
        <v>39114</v>
      </c>
    </row>
    <row r="1883" spans="1:3" ht="16.2" x14ac:dyDescent="0.35">
      <c r="A1883" s="20">
        <v>39142</v>
      </c>
      <c r="B1883" s="21">
        <v>6.18</v>
      </c>
      <c r="C1883" s="238">
        <f t="shared" si="41"/>
        <v>39142</v>
      </c>
    </row>
    <row r="1884" spans="1:3" ht="16.2" x14ac:dyDescent="0.35">
      <c r="A1884" s="20">
        <v>39149</v>
      </c>
      <c r="B1884" s="21">
        <v>6.14</v>
      </c>
      <c r="C1884" s="238">
        <f t="shared" si="41"/>
        <v>39142</v>
      </c>
    </row>
    <row r="1885" spans="1:3" ht="16.2" x14ac:dyDescent="0.35">
      <c r="A1885" s="20">
        <v>39156</v>
      </c>
      <c r="B1885" s="21">
        <v>6.14</v>
      </c>
      <c r="C1885" s="238">
        <f t="shared" si="41"/>
        <v>39142</v>
      </c>
    </row>
    <row r="1886" spans="1:3" ht="16.2" x14ac:dyDescent="0.35">
      <c r="A1886" s="20">
        <v>39163</v>
      </c>
      <c r="B1886" s="21">
        <v>6.16</v>
      </c>
      <c r="C1886" s="238">
        <f t="shared" si="41"/>
        <v>39142</v>
      </c>
    </row>
    <row r="1887" spans="1:3" ht="16.2" x14ac:dyDescent="0.35">
      <c r="A1887" s="20">
        <v>39170</v>
      </c>
      <c r="B1887" s="21">
        <v>6.16</v>
      </c>
      <c r="C1887" s="238">
        <f t="shared" si="41"/>
        <v>39142</v>
      </c>
    </row>
    <row r="1888" spans="1:3" ht="16.2" x14ac:dyDescent="0.35">
      <c r="A1888" s="20">
        <v>39177</v>
      </c>
      <c r="B1888" s="21">
        <v>6.17</v>
      </c>
      <c r="C1888" s="238">
        <f t="shared" si="41"/>
        <v>39173</v>
      </c>
    </row>
    <row r="1889" spans="1:3" ht="16.2" x14ac:dyDescent="0.35">
      <c r="A1889" s="20">
        <v>39184</v>
      </c>
      <c r="B1889" s="21">
        <v>6.22</v>
      </c>
      <c r="C1889" s="238">
        <f t="shared" si="41"/>
        <v>39173</v>
      </c>
    </row>
    <row r="1890" spans="1:3" ht="16.2" x14ac:dyDescent="0.35">
      <c r="A1890" s="20">
        <v>39191</v>
      </c>
      <c r="B1890" s="21">
        <v>6.17</v>
      </c>
      <c r="C1890" s="238">
        <f t="shared" si="41"/>
        <v>39173</v>
      </c>
    </row>
    <row r="1891" spans="1:3" ht="16.2" x14ac:dyDescent="0.35">
      <c r="A1891" s="20">
        <v>39198</v>
      </c>
      <c r="B1891" s="21">
        <v>6.16</v>
      </c>
      <c r="C1891" s="238">
        <f t="shared" si="41"/>
        <v>39173</v>
      </c>
    </row>
    <row r="1892" spans="1:3" ht="16.2" x14ac:dyDescent="0.35">
      <c r="A1892" s="20">
        <v>39205</v>
      </c>
      <c r="B1892" s="21">
        <v>6.16</v>
      </c>
      <c r="C1892" s="238">
        <f t="shared" si="41"/>
        <v>39203</v>
      </c>
    </row>
    <row r="1893" spans="1:3" ht="16.2" x14ac:dyDescent="0.35">
      <c r="A1893" s="20">
        <v>39212</v>
      </c>
      <c r="B1893" s="21">
        <v>6.15</v>
      </c>
      <c r="C1893" s="238">
        <f t="shared" si="41"/>
        <v>39203</v>
      </c>
    </row>
    <row r="1894" spans="1:3" ht="16.2" x14ac:dyDescent="0.35">
      <c r="A1894" s="20">
        <v>39219</v>
      </c>
      <c r="B1894" s="21">
        <v>6.21</v>
      </c>
      <c r="C1894" s="238">
        <f t="shared" si="41"/>
        <v>39203</v>
      </c>
    </row>
    <row r="1895" spans="1:3" ht="16.2" x14ac:dyDescent="0.35">
      <c r="A1895" s="20">
        <v>39226</v>
      </c>
      <c r="B1895" s="21">
        <v>6.37</v>
      </c>
      <c r="C1895" s="238">
        <f t="shared" si="41"/>
        <v>39203</v>
      </c>
    </row>
    <row r="1896" spans="1:3" ht="16.2" x14ac:dyDescent="0.35">
      <c r="A1896" s="20">
        <v>39233</v>
      </c>
      <c r="B1896" s="21">
        <v>6.42</v>
      </c>
      <c r="C1896" s="238">
        <f t="shared" si="41"/>
        <v>39203</v>
      </c>
    </row>
    <row r="1897" spans="1:3" ht="16.2" x14ac:dyDescent="0.35">
      <c r="A1897" s="20">
        <v>39240</v>
      </c>
      <c r="B1897" s="21">
        <v>6.53</v>
      </c>
      <c r="C1897" s="238">
        <f t="shared" si="41"/>
        <v>39234</v>
      </c>
    </row>
    <row r="1898" spans="1:3" ht="16.2" x14ac:dyDescent="0.35">
      <c r="A1898" s="20">
        <v>39247</v>
      </c>
      <c r="B1898" s="21">
        <v>6.74</v>
      </c>
      <c r="C1898" s="238">
        <f t="shared" si="41"/>
        <v>39234</v>
      </c>
    </row>
    <row r="1899" spans="1:3" ht="16.2" x14ac:dyDescent="0.35">
      <c r="A1899" s="20">
        <v>39254</v>
      </c>
      <c r="B1899" s="21">
        <v>6.69</v>
      </c>
      <c r="C1899" s="238">
        <f t="shared" si="41"/>
        <v>39234</v>
      </c>
    </row>
    <row r="1900" spans="1:3" ht="16.2" x14ac:dyDescent="0.35">
      <c r="A1900" s="20">
        <v>39261</v>
      </c>
      <c r="B1900" s="21">
        <v>6.67</v>
      </c>
      <c r="C1900" s="238">
        <f t="shared" si="41"/>
        <v>39234</v>
      </c>
    </row>
    <row r="1901" spans="1:3" ht="16.2" x14ac:dyDescent="0.35">
      <c r="A1901" s="20">
        <v>39268</v>
      </c>
      <c r="B1901" s="21">
        <v>6.63</v>
      </c>
      <c r="C1901" s="238">
        <f t="shared" si="41"/>
        <v>39264</v>
      </c>
    </row>
    <row r="1902" spans="1:3" ht="16.2" x14ac:dyDescent="0.35">
      <c r="A1902" s="20">
        <v>39275</v>
      </c>
      <c r="B1902" s="21">
        <v>6.73</v>
      </c>
      <c r="C1902" s="238">
        <f t="shared" si="41"/>
        <v>39264</v>
      </c>
    </row>
    <row r="1903" spans="1:3" ht="16.2" x14ac:dyDescent="0.35">
      <c r="A1903" s="20">
        <v>39282</v>
      </c>
      <c r="B1903" s="21">
        <v>6.73</v>
      </c>
      <c r="C1903" s="238">
        <f t="shared" si="41"/>
        <v>39264</v>
      </c>
    </row>
    <row r="1904" spans="1:3" ht="16.2" x14ac:dyDescent="0.35">
      <c r="A1904" s="20">
        <v>39289</v>
      </c>
      <c r="B1904" s="21">
        <v>6.69</v>
      </c>
      <c r="C1904" s="238">
        <f t="shared" si="41"/>
        <v>39264</v>
      </c>
    </row>
    <row r="1905" spans="1:3" ht="16.2" x14ac:dyDescent="0.35">
      <c r="A1905" s="20">
        <v>39296</v>
      </c>
      <c r="B1905" s="21">
        <v>6.68</v>
      </c>
      <c r="C1905" s="238">
        <f t="shared" si="41"/>
        <v>39295</v>
      </c>
    </row>
    <row r="1906" spans="1:3" ht="16.2" x14ac:dyDescent="0.35">
      <c r="A1906" s="20">
        <v>39303</v>
      </c>
      <c r="B1906" s="21">
        <v>6.59</v>
      </c>
      <c r="C1906" s="238">
        <f t="shared" si="41"/>
        <v>39295</v>
      </c>
    </row>
    <row r="1907" spans="1:3" ht="16.2" x14ac:dyDescent="0.35">
      <c r="A1907" s="20">
        <v>39310</v>
      </c>
      <c r="B1907" s="21">
        <v>6.62</v>
      </c>
      <c r="C1907" s="238">
        <f t="shared" si="41"/>
        <v>39295</v>
      </c>
    </row>
    <row r="1908" spans="1:3" ht="16.2" x14ac:dyDescent="0.35">
      <c r="A1908" s="20">
        <v>39317</v>
      </c>
      <c r="B1908" s="21">
        <v>6.52</v>
      </c>
      <c r="C1908" s="238">
        <f t="shared" si="41"/>
        <v>39295</v>
      </c>
    </row>
    <row r="1909" spans="1:3" ht="16.2" x14ac:dyDescent="0.35">
      <c r="A1909" s="20">
        <v>39324</v>
      </c>
      <c r="B1909" s="21">
        <v>6.45</v>
      </c>
      <c r="C1909" s="238">
        <f t="shared" si="41"/>
        <v>39295</v>
      </c>
    </row>
    <row r="1910" spans="1:3" ht="16.2" x14ac:dyDescent="0.35">
      <c r="A1910" s="20">
        <v>39331</v>
      </c>
      <c r="B1910" s="21">
        <v>6.46</v>
      </c>
      <c r="C1910" s="238">
        <f t="shared" si="41"/>
        <v>39326</v>
      </c>
    </row>
    <row r="1911" spans="1:3" ht="16.2" x14ac:dyDescent="0.35">
      <c r="A1911" s="20">
        <v>39338</v>
      </c>
      <c r="B1911" s="21">
        <v>6.31</v>
      </c>
      <c r="C1911" s="238">
        <f t="shared" si="41"/>
        <v>39326</v>
      </c>
    </row>
    <row r="1912" spans="1:3" ht="16.2" x14ac:dyDescent="0.35">
      <c r="A1912" s="20">
        <v>39345</v>
      </c>
      <c r="B1912" s="21">
        <v>6.34</v>
      </c>
      <c r="C1912" s="238">
        <f t="shared" si="41"/>
        <v>39326</v>
      </c>
    </row>
    <row r="1913" spans="1:3" ht="16.2" x14ac:dyDescent="0.35">
      <c r="A1913" s="20">
        <v>39352</v>
      </c>
      <c r="B1913" s="21">
        <v>6.42</v>
      </c>
      <c r="C1913" s="238">
        <f t="shared" si="41"/>
        <v>39326</v>
      </c>
    </row>
    <row r="1914" spans="1:3" ht="16.2" x14ac:dyDescent="0.35">
      <c r="A1914" s="20">
        <v>39359</v>
      </c>
      <c r="B1914" s="21">
        <v>6.37</v>
      </c>
      <c r="C1914" s="238">
        <f t="shared" si="41"/>
        <v>39356</v>
      </c>
    </row>
    <row r="1915" spans="1:3" ht="16.2" x14ac:dyDescent="0.35">
      <c r="A1915" s="20">
        <v>39366</v>
      </c>
      <c r="B1915" s="21">
        <v>6.4</v>
      </c>
      <c r="C1915" s="238">
        <f t="shared" si="41"/>
        <v>39356</v>
      </c>
    </row>
    <row r="1916" spans="1:3" ht="16.2" x14ac:dyDescent="0.35">
      <c r="A1916" s="20">
        <v>39373</v>
      </c>
      <c r="B1916" s="21">
        <v>6.4</v>
      </c>
      <c r="C1916" s="238">
        <f t="shared" si="41"/>
        <v>39356</v>
      </c>
    </row>
    <row r="1917" spans="1:3" ht="16.2" x14ac:dyDescent="0.35">
      <c r="A1917" s="20">
        <v>39380</v>
      </c>
      <c r="B1917" s="21">
        <v>6.33</v>
      </c>
      <c r="C1917" s="238">
        <f t="shared" si="41"/>
        <v>39356</v>
      </c>
    </row>
    <row r="1918" spans="1:3" ht="16.2" x14ac:dyDescent="0.35">
      <c r="A1918" s="20">
        <v>39387</v>
      </c>
      <c r="B1918" s="21">
        <v>6.26</v>
      </c>
      <c r="C1918" s="238">
        <f t="shared" si="41"/>
        <v>39387</v>
      </c>
    </row>
    <row r="1919" spans="1:3" ht="16.2" x14ac:dyDescent="0.35">
      <c r="A1919" s="20">
        <v>39394</v>
      </c>
      <c r="B1919" s="21">
        <v>6.24</v>
      </c>
      <c r="C1919" s="238">
        <f t="shared" si="41"/>
        <v>39387</v>
      </c>
    </row>
    <row r="1920" spans="1:3" ht="16.2" x14ac:dyDescent="0.35">
      <c r="A1920" s="20">
        <v>39401</v>
      </c>
      <c r="B1920" s="21">
        <v>6.24</v>
      </c>
      <c r="C1920" s="238">
        <f t="shared" si="41"/>
        <v>39387</v>
      </c>
    </row>
    <row r="1921" spans="1:3" ht="16.2" x14ac:dyDescent="0.35">
      <c r="A1921" s="20">
        <v>39407</v>
      </c>
      <c r="B1921" s="21">
        <v>6.2</v>
      </c>
      <c r="C1921" s="238">
        <f t="shared" si="41"/>
        <v>39387</v>
      </c>
    </row>
    <row r="1922" spans="1:3" ht="16.2" x14ac:dyDescent="0.35">
      <c r="A1922" s="20">
        <v>39415</v>
      </c>
      <c r="B1922" s="21">
        <v>6.1</v>
      </c>
      <c r="C1922" s="238">
        <f t="shared" si="41"/>
        <v>39387</v>
      </c>
    </row>
    <row r="1923" spans="1:3" ht="16.2" x14ac:dyDescent="0.35">
      <c r="A1923" s="20">
        <v>39422</v>
      </c>
      <c r="B1923" s="21">
        <v>5.96</v>
      </c>
      <c r="C1923" s="238">
        <f t="shared" si="41"/>
        <v>39417</v>
      </c>
    </row>
    <row r="1924" spans="1:3" ht="16.2" x14ac:dyDescent="0.35">
      <c r="A1924" s="20">
        <v>39429</v>
      </c>
      <c r="B1924" s="21">
        <v>6.11</v>
      </c>
      <c r="C1924" s="238">
        <f t="shared" si="41"/>
        <v>39417</v>
      </c>
    </row>
    <row r="1925" spans="1:3" ht="16.2" x14ac:dyDescent="0.35">
      <c r="A1925" s="20">
        <v>39436</v>
      </c>
      <c r="B1925" s="21">
        <v>6.14</v>
      </c>
      <c r="C1925" s="238">
        <f t="shared" si="41"/>
        <v>39417</v>
      </c>
    </row>
    <row r="1926" spans="1:3" ht="16.2" x14ac:dyDescent="0.35">
      <c r="A1926" s="20">
        <v>39443</v>
      </c>
      <c r="B1926" s="21">
        <v>6.17</v>
      </c>
      <c r="C1926" s="238">
        <f t="shared" si="41"/>
        <v>39417</v>
      </c>
    </row>
    <row r="1927" spans="1:3" ht="16.2" x14ac:dyDescent="0.35">
      <c r="A1927" s="20">
        <v>39450</v>
      </c>
      <c r="B1927" s="21">
        <v>6.07</v>
      </c>
      <c r="C1927" s="238">
        <f t="shared" si="41"/>
        <v>39448</v>
      </c>
    </row>
    <row r="1928" spans="1:3" ht="16.2" x14ac:dyDescent="0.35">
      <c r="A1928" s="20">
        <v>39457</v>
      </c>
      <c r="B1928" s="21">
        <v>5.87</v>
      </c>
      <c r="C1928" s="238">
        <f t="shared" si="41"/>
        <v>39448</v>
      </c>
    </row>
    <row r="1929" spans="1:3" ht="16.2" x14ac:dyDescent="0.35">
      <c r="A1929" s="20">
        <v>39464</v>
      </c>
      <c r="B1929" s="21">
        <v>5.69</v>
      </c>
      <c r="C1929" s="238">
        <f t="shared" si="41"/>
        <v>39448</v>
      </c>
    </row>
    <row r="1930" spans="1:3" ht="16.2" x14ac:dyDescent="0.35">
      <c r="A1930" s="20">
        <v>39471</v>
      </c>
      <c r="B1930" s="21">
        <v>5.48</v>
      </c>
      <c r="C1930" s="238">
        <f t="shared" si="41"/>
        <v>39448</v>
      </c>
    </row>
    <row r="1931" spans="1:3" ht="16.2" x14ac:dyDescent="0.35">
      <c r="A1931" s="20">
        <v>39478</v>
      </c>
      <c r="B1931" s="21">
        <v>5.68</v>
      </c>
      <c r="C1931" s="238">
        <f t="shared" si="41"/>
        <v>39448</v>
      </c>
    </row>
    <row r="1932" spans="1:3" ht="16.2" x14ac:dyDescent="0.35">
      <c r="A1932" s="20">
        <v>39485</v>
      </c>
      <c r="B1932" s="21">
        <v>5.67</v>
      </c>
      <c r="C1932" s="238">
        <f t="shared" si="41"/>
        <v>39479</v>
      </c>
    </row>
    <row r="1933" spans="1:3" ht="16.2" x14ac:dyDescent="0.35">
      <c r="A1933" s="20">
        <v>39492</v>
      </c>
      <c r="B1933" s="21">
        <v>5.72</v>
      </c>
      <c r="C1933" s="238">
        <f t="shared" si="41"/>
        <v>39479</v>
      </c>
    </row>
    <row r="1934" spans="1:3" ht="16.2" x14ac:dyDescent="0.35">
      <c r="A1934" s="20">
        <v>39499</v>
      </c>
      <c r="B1934" s="21">
        <v>6.04</v>
      </c>
      <c r="C1934" s="238">
        <f t="shared" si="41"/>
        <v>39479</v>
      </c>
    </row>
    <row r="1935" spans="1:3" ht="16.2" x14ac:dyDescent="0.35">
      <c r="A1935" s="20">
        <v>39506</v>
      </c>
      <c r="B1935" s="21">
        <v>6.24</v>
      </c>
      <c r="C1935" s="238">
        <f t="shared" si="41"/>
        <v>39479</v>
      </c>
    </row>
    <row r="1936" spans="1:3" ht="16.2" x14ac:dyDescent="0.35">
      <c r="A1936" s="20">
        <v>39513</v>
      </c>
      <c r="B1936" s="21">
        <v>6.03</v>
      </c>
      <c r="C1936" s="238">
        <f t="shared" ref="C1936:C1999" si="42">EOMONTH(A1936,-1)+1</f>
        <v>39508</v>
      </c>
    </row>
    <row r="1937" spans="1:3" ht="16.2" x14ac:dyDescent="0.35">
      <c r="A1937" s="20">
        <v>39520</v>
      </c>
      <c r="B1937" s="21">
        <v>6.13</v>
      </c>
      <c r="C1937" s="238">
        <f t="shared" si="42"/>
        <v>39508</v>
      </c>
    </row>
    <row r="1938" spans="1:3" ht="16.2" x14ac:dyDescent="0.35">
      <c r="A1938" s="20">
        <v>39527</v>
      </c>
      <c r="B1938" s="21">
        <v>5.87</v>
      </c>
      <c r="C1938" s="238">
        <f t="shared" si="42"/>
        <v>39508</v>
      </c>
    </row>
    <row r="1939" spans="1:3" ht="16.2" x14ac:dyDescent="0.35">
      <c r="A1939" s="20">
        <v>39534</v>
      </c>
      <c r="B1939" s="21">
        <v>5.85</v>
      </c>
      <c r="C1939" s="238">
        <f t="shared" si="42"/>
        <v>39508</v>
      </c>
    </row>
    <row r="1940" spans="1:3" ht="16.2" x14ac:dyDescent="0.35">
      <c r="A1940" s="20">
        <v>39541</v>
      </c>
      <c r="B1940" s="21">
        <v>5.88</v>
      </c>
      <c r="C1940" s="238">
        <f t="shared" si="42"/>
        <v>39539</v>
      </c>
    </row>
    <row r="1941" spans="1:3" ht="16.2" x14ac:dyDescent="0.35">
      <c r="A1941" s="20">
        <v>39548</v>
      </c>
      <c r="B1941" s="21">
        <v>5.88</v>
      </c>
      <c r="C1941" s="238">
        <f t="shared" si="42"/>
        <v>39539</v>
      </c>
    </row>
    <row r="1942" spans="1:3" ht="16.2" x14ac:dyDescent="0.35">
      <c r="A1942" s="20">
        <v>39555</v>
      </c>
      <c r="B1942" s="21">
        <v>5.88</v>
      </c>
      <c r="C1942" s="238">
        <f t="shared" si="42"/>
        <v>39539</v>
      </c>
    </row>
    <row r="1943" spans="1:3" ht="16.2" x14ac:dyDescent="0.35">
      <c r="A1943" s="20">
        <v>39562</v>
      </c>
      <c r="B1943" s="21">
        <v>6.03</v>
      </c>
      <c r="C1943" s="238">
        <f t="shared" si="42"/>
        <v>39539</v>
      </c>
    </row>
    <row r="1944" spans="1:3" ht="16.2" x14ac:dyDescent="0.35">
      <c r="A1944" s="20">
        <v>39569</v>
      </c>
      <c r="B1944" s="21">
        <v>6.06</v>
      </c>
      <c r="C1944" s="238">
        <f t="shared" si="42"/>
        <v>39569</v>
      </c>
    </row>
    <row r="1945" spans="1:3" ht="16.2" x14ac:dyDescent="0.35">
      <c r="A1945" s="20">
        <v>39576</v>
      </c>
      <c r="B1945" s="21">
        <v>6.05</v>
      </c>
      <c r="C1945" s="238">
        <f t="shared" si="42"/>
        <v>39569</v>
      </c>
    </row>
    <row r="1946" spans="1:3" ht="16.2" x14ac:dyDescent="0.35">
      <c r="A1946" s="20">
        <v>39583</v>
      </c>
      <c r="B1946" s="21">
        <v>6.01</v>
      </c>
      <c r="C1946" s="238">
        <f t="shared" si="42"/>
        <v>39569</v>
      </c>
    </row>
    <row r="1947" spans="1:3" ht="16.2" x14ac:dyDescent="0.35">
      <c r="A1947" s="20">
        <v>39590</v>
      </c>
      <c r="B1947" s="21">
        <v>5.98</v>
      </c>
      <c r="C1947" s="238">
        <f t="shared" si="42"/>
        <v>39569</v>
      </c>
    </row>
    <row r="1948" spans="1:3" ht="16.2" x14ac:dyDescent="0.35">
      <c r="A1948" s="20">
        <v>39597</v>
      </c>
      <c r="B1948" s="21">
        <v>6.08</v>
      </c>
      <c r="C1948" s="238">
        <f t="shared" si="42"/>
        <v>39569</v>
      </c>
    </row>
    <row r="1949" spans="1:3" ht="16.2" x14ac:dyDescent="0.35">
      <c r="A1949" s="20">
        <v>39604</v>
      </c>
      <c r="B1949" s="21">
        <v>6.09</v>
      </c>
      <c r="C1949" s="238">
        <f t="shared" si="42"/>
        <v>39600</v>
      </c>
    </row>
    <row r="1950" spans="1:3" ht="16.2" x14ac:dyDescent="0.35">
      <c r="A1950" s="20">
        <v>39611</v>
      </c>
      <c r="B1950" s="21">
        <v>6.32</v>
      </c>
      <c r="C1950" s="238">
        <f t="shared" si="42"/>
        <v>39600</v>
      </c>
    </row>
    <row r="1951" spans="1:3" ht="16.2" x14ac:dyDescent="0.35">
      <c r="A1951" s="20">
        <v>39618</v>
      </c>
      <c r="B1951" s="21">
        <v>6.42</v>
      </c>
      <c r="C1951" s="238">
        <f t="shared" si="42"/>
        <v>39600</v>
      </c>
    </row>
    <row r="1952" spans="1:3" ht="16.2" x14ac:dyDescent="0.35">
      <c r="A1952" s="20">
        <v>39625</v>
      </c>
      <c r="B1952" s="21">
        <v>6.45</v>
      </c>
      <c r="C1952" s="238">
        <f t="shared" si="42"/>
        <v>39600</v>
      </c>
    </row>
    <row r="1953" spans="1:3" ht="16.2" x14ac:dyDescent="0.35">
      <c r="A1953" s="20">
        <v>39632</v>
      </c>
      <c r="B1953" s="21">
        <v>6.35</v>
      </c>
      <c r="C1953" s="238">
        <f t="shared" si="42"/>
        <v>39630</v>
      </c>
    </row>
    <row r="1954" spans="1:3" ht="16.2" x14ac:dyDescent="0.35">
      <c r="A1954" s="20">
        <v>39639</v>
      </c>
      <c r="B1954" s="21">
        <v>6.37</v>
      </c>
      <c r="C1954" s="238">
        <f t="shared" si="42"/>
        <v>39630</v>
      </c>
    </row>
    <row r="1955" spans="1:3" ht="16.2" x14ac:dyDescent="0.35">
      <c r="A1955" s="20">
        <v>39646</v>
      </c>
      <c r="B1955" s="21">
        <v>6.26</v>
      </c>
      <c r="C1955" s="238">
        <f t="shared" si="42"/>
        <v>39630</v>
      </c>
    </row>
    <row r="1956" spans="1:3" ht="16.2" x14ac:dyDescent="0.35">
      <c r="A1956" s="20">
        <v>39653</v>
      </c>
      <c r="B1956" s="21">
        <v>6.63</v>
      </c>
      <c r="C1956" s="238">
        <f t="shared" si="42"/>
        <v>39630</v>
      </c>
    </row>
    <row r="1957" spans="1:3" ht="16.2" x14ac:dyDescent="0.35">
      <c r="A1957" s="20">
        <v>39660</v>
      </c>
      <c r="B1957" s="21">
        <v>6.52</v>
      </c>
      <c r="C1957" s="238">
        <f t="shared" si="42"/>
        <v>39630</v>
      </c>
    </row>
    <row r="1958" spans="1:3" ht="16.2" x14ac:dyDescent="0.35">
      <c r="A1958" s="20">
        <v>39667</v>
      </c>
      <c r="B1958" s="21">
        <v>6.52</v>
      </c>
      <c r="C1958" s="238">
        <f t="shared" si="42"/>
        <v>39661</v>
      </c>
    </row>
    <row r="1959" spans="1:3" ht="16.2" x14ac:dyDescent="0.35">
      <c r="A1959" s="20">
        <v>39674</v>
      </c>
      <c r="B1959" s="21">
        <v>6.52</v>
      </c>
      <c r="C1959" s="238">
        <f t="shared" si="42"/>
        <v>39661</v>
      </c>
    </row>
    <row r="1960" spans="1:3" ht="16.2" x14ac:dyDescent="0.35">
      <c r="A1960" s="20">
        <v>39681</v>
      </c>
      <c r="B1960" s="21">
        <v>6.47</v>
      </c>
      <c r="C1960" s="238">
        <f t="shared" si="42"/>
        <v>39661</v>
      </c>
    </row>
    <row r="1961" spans="1:3" ht="16.2" x14ac:dyDescent="0.35">
      <c r="A1961" s="20">
        <v>39688</v>
      </c>
      <c r="B1961" s="21">
        <v>6.4</v>
      </c>
      <c r="C1961" s="238">
        <f t="shared" si="42"/>
        <v>39661</v>
      </c>
    </row>
    <row r="1962" spans="1:3" ht="16.2" x14ac:dyDescent="0.35">
      <c r="A1962" s="20">
        <v>39695</v>
      </c>
      <c r="B1962" s="21">
        <v>6.35</v>
      </c>
      <c r="C1962" s="238">
        <f t="shared" si="42"/>
        <v>39692</v>
      </c>
    </row>
    <row r="1963" spans="1:3" ht="16.2" x14ac:dyDescent="0.35">
      <c r="A1963" s="20">
        <v>39702</v>
      </c>
      <c r="B1963" s="21">
        <v>5.93</v>
      </c>
      <c r="C1963" s="238">
        <f t="shared" si="42"/>
        <v>39692</v>
      </c>
    </row>
    <row r="1964" spans="1:3" ht="16.2" x14ac:dyDescent="0.35">
      <c r="A1964" s="20">
        <v>39709</v>
      </c>
      <c r="B1964" s="21">
        <v>5.78</v>
      </c>
      <c r="C1964" s="238">
        <f t="shared" si="42"/>
        <v>39692</v>
      </c>
    </row>
    <row r="1965" spans="1:3" ht="16.2" x14ac:dyDescent="0.35">
      <c r="A1965" s="20">
        <v>39716</v>
      </c>
      <c r="B1965" s="21">
        <v>6.09</v>
      </c>
      <c r="C1965" s="238">
        <f t="shared" si="42"/>
        <v>39692</v>
      </c>
    </row>
    <row r="1966" spans="1:3" ht="16.2" x14ac:dyDescent="0.35">
      <c r="A1966" s="20">
        <v>39723</v>
      </c>
      <c r="B1966" s="21">
        <v>6.1</v>
      </c>
      <c r="C1966" s="238">
        <f t="shared" si="42"/>
        <v>39722</v>
      </c>
    </row>
    <row r="1967" spans="1:3" ht="16.2" x14ac:dyDescent="0.35">
      <c r="A1967" s="20">
        <v>39730</v>
      </c>
      <c r="B1967" s="21">
        <v>5.94</v>
      </c>
      <c r="C1967" s="238">
        <f t="shared" si="42"/>
        <v>39722</v>
      </c>
    </row>
    <row r="1968" spans="1:3" ht="16.2" x14ac:dyDescent="0.35">
      <c r="A1968" s="20">
        <v>39737</v>
      </c>
      <c r="B1968" s="21">
        <v>6.46</v>
      </c>
      <c r="C1968" s="238">
        <f t="shared" si="42"/>
        <v>39722</v>
      </c>
    </row>
    <row r="1969" spans="1:3" ht="16.2" x14ac:dyDescent="0.35">
      <c r="A1969" s="20">
        <v>39744</v>
      </c>
      <c r="B1969" s="21">
        <v>6.04</v>
      </c>
      <c r="C1969" s="238">
        <f t="shared" si="42"/>
        <v>39722</v>
      </c>
    </row>
    <row r="1970" spans="1:3" ht="16.2" x14ac:dyDescent="0.35">
      <c r="A1970" s="20">
        <v>39751</v>
      </c>
      <c r="B1970" s="21">
        <v>6.46</v>
      </c>
      <c r="C1970" s="238">
        <f t="shared" si="42"/>
        <v>39722</v>
      </c>
    </row>
    <row r="1971" spans="1:3" ht="16.2" x14ac:dyDescent="0.35">
      <c r="A1971" s="20">
        <v>39758</v>
      </c>
      <c r="B1971" s="21">
        <v>6.2</v>
      </c>
      <c r="C1971" s="238">
        <f t="shared" si="42"/>
        <v>39753</v>
      </c>
    </row>
    <row r="1972" spans="1:3" ht="16.2" x14ac:dyDescent="0.35">
      <c r="A1972" s="20">
        <v>39765</v>
      </c>
      <c r="B1972" s="21">
        <v>6.14</v>
      </c>
      <c r="C1972" s="238">
        <f t="shared" si="42"/>
        <v>39753</v>
      </c>
    </row>
    <row r="1973" spans="1:3" ht="16.2" x14ac:dyDescent="0.35">
      <c r="A1973" s="20">
        <v>39772</v>
      </c>
      <c r="B1973" s="21">
        <v>6.04</v>
      </c>
      <c r="C1973" s="238">
        <f t="shared" si="42"/>
        <v>39753</v>
      </c>
    </row>
    <row r="1974" spans="1:3" ht="16.2" x14ac:dyDescent="0.35">
      <c r="A1974" s="20">
        <v>39778</v>
      </c>
      <c r="B1974" s="21">
        <v>5.97</v>
      </c>
      <c r="C1974" s="238">
        <f t="shared" si="42"/>
        <v>39753</v>
      </c>
    </row>
    <row r="1975" spans="1:3" ht="16.2" x14ac:dyDescent="0.35">
      <c r="A1975" s="20">
        <v>39786</v>
      </c>
      <c r="B1975" s="21">
        <v>5.53</v>
      </c>
      <c r="C1975" s="238">
        <f t="shared" si="42"/>
        <v>39783</v>
      </c>
    </row>
    <row r="1976" spans="1:3" ht="16.2" x14ac:dyDescent="0.35">
      <c r="A1976" s="20">
        <v>39793</v>
      </c>
      <c r="B1976" s="21">
        <v>5.47</v>
      </c>
      <c r="C1976" s="238">
        <f t="shared" si="42"/>
        <v>39783</v>
      </c>
    </row>
    <row r="1977" spans="1:3" ht="16.2" x14ac:dyDescent="0.35">
      <c r="A1977" s="20">
        <v>39800</v>
      </c>
      <c r="B1977" s="21">
        <v>5.19</v>
      </c>
      <c r="C1977" s="238">
        <f t="shared" si="42"/>
        <v>39783</v>
      </c>
    </row>
    <row r="1978" spans="1:3" ht="16.2" x14ac:dyDescent="0.35">
      <c r="A1978" s="20">
        <v>39806</v>
      </c>
      <c r="B1978" s="21">
        <v>5.14</v>
      </c>
      <c r="C1978" s="238">
        <f t="shared" si="42"/>
        <v>39783</v>
      </c>
    </row>
    <row r="1979" spans="1:3" ht="16.2" x14ac:dyDescent="0.35">
      <c r="A1979" s="20">
        <v>39813</v>
      </c>
      <c r="B1979" s="21">
        <v>5.0999999999999996</v>
      </c>
      <c r="C1979" s="238">
        <f t="shared" si="42"/>
        <v>39783</v>
      </c>
    </row>
    <row r="1980" spans="1:3" ht="16.2" x14ac:dyDescent="0.35">
      <c r="A1980" s="20">
        <v>39821</v>
      </c>
      <c r="B1980" s="21">
        <v>5.01</v>
      </c>
      <c r="C1980" s="238">
        <f t="shared" si="42"/>
        <v>39814</v>
      </c>
    </row>
    <row r="1981" spans="1:3" ht="16.2" x14ac:dyDescent="0.35">
      <c r="A1981" s="20">
        <v>39828</v>
      </c>
      <c r="B1981" s="21">
        <v>4.96</v>
      </c>
      <c r="C1981" s="238">
        <f t="shared" si="42"/>
        <v>39814</v>
      </c>
    </row>
    <row r="1982" spans="1:3" ht="16.2" x14ac:dyDescent="0.35">
      <c r="A1982" s="20">
        <v>39835</v>
      </c>
      <c r="B1982" s="21">
        <v>5.12</v>
      </c>
      <c r="C1982" s="238">
        <f t="shared" si="42"/>
        <v>39814</v>
      </c>
    </row>
    <row r="1983" spans="1:3" ht="16.2" x14ac:dyDescent="0.35">
      <c r="A1983" s="20">
        <v>39842</v>
      </c>
      <c r="B1983" s="21">
        <v>5.0999999999999996</v>
      </c>
      <c r="C1983" s="238">
        <f t="shared" si="42"/>
        <v>39814</v>
      </c>
    </row>
    <row r="1984" spans="1:3" ht="16.2" x14ac:dyDescent="0.35">
      <c r="A1984" s="20">
        <v>39849</v>
      </c>
      <c r="B1984" s="21">
        <v>5.25</v>
      </c>
      <c r="C1984" s="238">
        <f t="shared" si="42"/>
        <v>39845</v>
      </c>
    </row>
    <row r="1985" spans="1:3" ht="16.2" x14ac:dyDescent="0.35">
      <c r="A1985" s="20">
        <v>39856</v>
      </c>
      <c r="B1985" s="21">
        <v>5.16</v>
      </c>
      <c r="C1985" s="238">
        <f t="shared" si="42"/>
        <v>39845</v>
      </c>
    </row>
    <row r="1986" spans="1:3" ht="16.2" x14ac:dyDescent="0.35">
      <c r="A1986" s="20">
        <v>39863</v>
      </c>
      <c r="B1986" s="21">
        <v>5.04</v>
      </c>
      <c r="C1986" s="238">
        <f t="shared" si="42"/>
        <v>39845</v>
      </c>
    </row>
    <row r="1987" spans="1:3" ht="16.2" x14ac:dyDescent="0.35">
      <c r="A1987" s="20">
        <v>39870</v>
      </c>
      <c r="B1987" s="21">
        <v>5.07</v>
      </c>
      <c r="C1987" s="238">
        <f t="shared" si="42"/>
        <v>39845</v>
      </c>
    </row>
    <row r="1988" spans="1:3" ht="16.2" x14ac:dyDescent="0.35">
      <c r="A1988" s="20">
        <v>39877</v>
      </c>
      <c r="B1988" s="21">
        <v>5.15</v>
      </c>
      <c r="C1988" s="238">
        <f t="shared" si="42"/>
        <v>39873</v>
      </c>
    </row>
    <row r="1989" spans="1:3" ht="16.2" x14ac:dyDescent="0.35">
      <c r="A1989" s="20">
        <v>39884</v>
      </c>
      <c r="B1989" s="21">
        <v>5.03</v>
      </c>
      <c r="C1989" s="238">
        <f t="shared" si="42"/>
        <v>39873</v>
      </c>
    </row>
    <row r="1990" spans="1:3" ht="16.2" x14ac:dyDescent="0.35">
      <c r="A1990" s="20">
        <v>39891</v>
      </c>
      <c r="B1990" s="21">
        <v>4.9800000000000004</v>
      </c>
      <c r="C1990" s="238">
        <f t="shared" si="42"/>
        <v>39873</v>
      </c>
    </row>
    <row r="1991" spans="1:3" ht="16.2" x14ac:dyDescent="0.35">
      <c r="A1991" s="20">
        <v>39898</v>
      </c>
      <c r="B1991" s="21">
        <v>4.8499999999999996</v>
      </c>
      <c r="C1991" s="238">
        <f t="shared" si="42"/>
        <v>39873</v>
      </c>
    </row>
    <row r="1992" spans="1:3" ht="16.2" x14ac:dyDescent="0.35">
      <c r="A1992" s="20">
        <v>39905</v>
      </c>
      <c r="B1992" s="21">
        <v>4.78</v>
      </c>
      <c r="C1992" s="238">
        <f t="shared" si="42"/>
        <v>39904</v>
      </c>
    </row>
    <row r="1993" spans="1:3" ht="16.2" x14ac:dyDescent="0.35">
      <c r="A1993" s="20">
        <v>39912</v>
      </c>
      <c r="B1993" s="21">
        <v>4.87</v>
      </c>
      <c r="C1993" s="238">
        <f t="shared" si="42"/>
        <v>39904</v>
      </c>
    </row>
    <row r="1994" spans="1:3" ht="16.2" x14ac:dyDescent="0.35">
      <c r="A1994" s="20">
        <v>39919</v>
      </c>
      <c r="B1994" s="21">
        <v>4.82</v>
      </c>
      <c r="C1994" s="238">
        <f t="shared" si="42"/>
        <v>39904</v>
      </c>
    </row>
    <row r="1995" spans="1:3" ht="16.2" x14ac:dyDescent="0.35">
      <c r="A1995" s="20">
        <v>39926</v>
      </c>
      <c r="B1995" s="21">
        <v>4.8</v>
      </c>
      <c r="C1995" s="238">
        <f t="shared" si="42"/>
        <v>39904</v>
      </c>
    </row>
    <row r="1996" spans="1:3" ht="16.2" x14ac:dyDescent="0.35">
      <c r="A1996" s="20">
        <v>39933</v>
      </c>
      <c r="B1996" s="21">
        <v>4.78</v>
      </c>
      <c r="C1996" s="238">
        <f t="shared" si="42"/>
        <v>39904</v>
      </c>
    </row>
    <row r="1997" spans="1:3" ht="16.2" x14ac:dyDescent="0.35">
      <c r="A1997" s="20">
        <v>39940</v>
      </c>
      <c r="B1997" s="21">
        <v>4.84</v>
      </c>
      <c r="C1997" s="238">
        <f t="shared" si="42"/>
        <v>39934</v>
      </c>
    </row>
    <row r="1998" spans="1:3" ht="16.2" x14ac:dyDescent="0.35">
      <c r="A1998" s="20">
        <v>39947</v>
      </c>
      <c r="B1998" s="21">
        <v>4.8600000000000003</v>
      </c>
      <c r="C1998" s="238">
        <f t="shared" si="42"/>
        <v>39934</v>
      </c>
    </row>
    <row r="1999" spans="1:3" ht="16.2" x14ac:dyDescent="0.35">
      <c r="A1999" s="20">
        <v>39954</v>
      </c>
      <c r="B1999" s="21">
        <v>4.82</v>
      </c>
      <c r="C1999" s="238">
        <f t="shared" si="42"/>
        <v>39934</v>
      </c>
    </row>
    <row r="2000" spans="1:3" ht="16.2" x14ac:dyDescent="0.35">
      <c r="A2000" s="20">
        <v>39961</v>
      </c>
      <c r="B2000" s="21">
        <v>4.91</v>
      </c>
      <c r="C2000" s="238">
        <f t="shared" ref="C2000:C2063" si="43">EOMONTH(A2000,-1)+1</f>
        <v>39934</v>
      </c>
    </row>
    <row r="2001" spans="1:3" ht="16.2" x14ac:dyDescent="0.35">
      <c r="A2001" s="20">
        <v>39968</v>
      </c>
      <c r="B2001" s="21">
        <v>5.29</v>
      </c>
      <c r="C2001" s="238">
        <f t="shared" si="43"/>
        <v>39965</v>
      </c>
    </row>
    <row r="2002" spans="1:3" ht="16.2" x14ac:dyDescent="0.35">
      <c r="A2002" s="20">
        <v>39975</v>
      </c>
      <c r="B2002" s="21">
        <v>5.59</v>
      </c>
      <c r="C2002" s="238">
        <f t="shared" si="43"/>
        <v>39965</v>
      </c>
    </row>
    <row r="2003" spans="1:3" ht="16.2" x14ac:dyDescent="0.35">
      <c r="A2003" s="20">
        <v>39982</v>
      </c>
      <c r="B2003" s="21">
        <v>5.38</v>
      </c>
      <c r="C2003" s="238">
        <f t="shared" si="43"/>
        <v>39965</v>
      </c>
    </row>
    <row r="2004" spans="1:3" ht="16.2" x14ac:dyDescent="0.35">
      <c r="A2004" s="20">
        <v>39989</v>
      </c>
      <c r="B2004" s="21">
        <v>5.42</v>
      </c>
      <c r="C2004" s="238">
        <f t="shared" si="43"/>
        <v>39965</v>
      </c>
    </row>
    <row r="2005" spans="1:3" ht="16.2" x14ac:dyDescent="0.35">
      <c r="A2005" s="20">
        <v>39996</v>
      </c>
      <c r="B2005" s="21">
        <v>5.32</v>
      </c>
      <c r="C2005" s="238">
        <f t="shared" si="43"/>
        <v>39995</v>
      </c>
    </row>
    <row r="2006" spans="1:3" ht="16.2" x14ac:dyDescent="0.35">
      <c r="A2006" s="20">
        <v>40003</v>
      </c>
      <c r="B2006" s="21">
        <v>5.2</v>
      </c>
      <c r="C2006" s="238">
        <f t="shared" si="43"/>
        <v>39995</v>
      </c>
    </row>
    <row r="2007" spans="1:3" ht="16.2" x14ac:dyDescent="0.35">
      <c r="A2007" s="20">
        <v>40010</v>
      </c>
      <c r="B2007" s="21">
        <v>5.14</v>
      </c>
      <c r="C2007" s="238">
        <f t="shared" si="43"/>
        <v>39995</v>
      </c>
    </row>
    <row r="2008" spans="1:3" ht="16.2" x14ac:dyDescent="0.35">
      <c r="A2008" s="20">
        <v>40017</v>
      </c>
      <c r="B2008" s="21">
        <v>5.2</v>
      </c>
      <c r="C2008" s="238">
        <f t="shared" si="43"/>
        <v>39995</v>
      </c>
    </row>
    <row r="2009" spans="1:3" ht="16.2" x14ac:dyDescent="0.35">
      <c r="A2009" s="20">
        <v>40024</v>
      </c>
      <c r="B2009" s="21">
        <v>5.25</v>
      </c>
      <c r="C2009" s="238">
        <f t="shared" si="43"/>
        <v>39995</v>
      </c>
    </row>
    <row r="2010" spans="1:3" ht="16.2" x14ac:dyDescent="0.35">
      <c r="A2010" s="20">
        <v>40031</v>
      </c>
      <c r="B2010" s="21">
        <v>5.22</v>
      </c>
      <c r="C2010" s="238">
        <f t="shared" si="43"/>
        <v>40026</v>
      </c>
    </row>
    <row r="2011" spans="1:3" ht="16.2" x14ac:dyDescent="0.35">
      <c r="A2011" s="20">
        <v>40038</v>
      </c>
      <c r="B2011" s="21">
        <v>5.29</v>
      </c>
      <c r="C2011" s="238">
        <f t="shared" si="43"/>
        <v>40026</v>
      </c>
    </row>
    <row r="2012" spans="1:3" ht="16.2" x14ac:dyDescent="0.35">
      <c r="A2012" s="20">
        <v>40045</v>
      </c>
      <c r="B2012" s="21">
        <v>5.12</v>
      </c>
      <c r="C2012" s="238">
        <f t="shared" si="43"/>
        <v>40026</v>
      </c>
    </row>
    <row r="2013" spans="1:3" ht="16.2" x14ac:dyDescent="0.35">
      <c r="A2013" s="20">
        <v>40052</v>
      </c>
      <c r="B2013" s="21">
        <v>5.14</v>
      </c>
      <c r="C2013" s="238">
        <f t="shared" si="43"/>
        <v>40026</v>
      </c>
    </row>
    <row r="2014" spans="1:3" ht="16.2" x14ac:dyDescent="0.35">
      <c r="A2014" s="20">
        <v>40059</v>
      </c>
      <c r="B2014" s="21">
        <v>5.08</v>
      </c>
      <c r="C2014" s="238">
        <f t="shared" si="43"/>
        <v>40057</v>
      </c>
    </row>
    <row r="2015" spans="1:3" ht="16.2" x14ac:dyDescent="0.35">
      <c r="A2015" s="20">
        <v>40066</v>
      </c>
      <c r="B2015" s="21">
        <v>5.07</v>
      </c>
      <c r="C2015" s="238">
        <f t="shared" si="43"/>
        <v>40057</v>
      </c>
    </row>
    <row r="2016" spans="1:3" ht="16.2" x14ac:dyDescent="0.35">
      <c r="A2016" s="20">
        <v>40073</v>
      </c>
      <c r="B2016" s="21">
        <v>5.04</v>
      </c>
      <c r="C2016" s="238">
        <f t="shared" si="43"/>
        <v>40057</v>
      </c>
    </row>
    <row r="2017" spans="1:3" ht="16.2" x14ac:dyDescent="0.35">
      <c r="A2017" s="20">
        <v>40080</v>
      </c>
      <c r="B2017" s="21">
        <v>5.04</v>
      </c>
      <c r="C2017" s="238">
        <f t="shared" si="43"/>
        <v>40057</v>
      </c>
    </row>
    <row r="2018" spans="1:3" ht="16.2" x14ac:dyDescent="0.35">
      <c r="A2018" s="20">
        <v>40087</v>
      </c>
      <c r="B2018" s="21">
        <v>4.9400000000000004</v>
      </c>
      <c r="C2018" s="238">
        <f t="shared" si="43"/>
        <v>40087</v>
      </c>
    </row>
    <row r="2019" spans="1:3" ht="16.2" x14ac:dyDescent="0.35">
      <c r="A2019" s="20">
        <v>40094</v>
      </c>
      <c r="B2019" s="21">
        <v>4.87</v>
      </c>
      <c r="C2019" s="238">
        <f t="shared" si="43"/>
        <v>40087</v>
      </c>
    </row>
    <row r="2020" spans="1:3" ht="16.2" x14ac:dyDescent="0.35">
      <c r="A2020" s="20">
        <v>40101</v>
      </c>
      <c r="B2020" s="21">
        <v>4.92</v>
      </c>
      <c r="C2020" s="238">
        <f t="shared" si="43"/>
        <v>40087</v>
      </c>
    </row>
    <row r="2021" spans="1:3" ht="16.2" x14ac:dyDescent="0.35">
      <c r="A2021" s="20">
        <v>40108</v>
      </c>
      <c r="B2021" s="21">
        <v>5</v>
      </c>
      <c r="C2021" s="238">
        <f t="shared" si="43"/>
        <v>40087</v>
      </c>
    </row>
    <row r="2022" spans="1:3" ht="16.2" x14ac:dyDescent="0.35">
      <c r="A2022" s="20">
        <v>40115</v>
      </c>
      <c r="B2022" s="21">
        <v>5.03</v>
      </c>
      <c r="C2022" s="238">
        <f t="shared" si="43"/>
        <v>40087</v>
      </c>
    </row>
    <row r="2023" spans="1:3" ht="16.2" x14ac:dyDescent="0.35">
      <c r="A2023" s="20">
        <v>40122</v>
      </c>
      <c r="B2023" s="21">
        <v>4.9800000000000004</v>
      </c>
      <c r="C2023" s="238">
        <f t="shared" si="43"/>
        <v>40118</v>
      </c>
    </row>
    <row r="2024" spans="1:3" ht="16.2" x14ac:dyDescent="0.35">
      <c r="A2024" s="20">
        <v>40129</v>
      </c>
      <c r="B2024" s="21">
        <v>4.91</v>
      </c>
      <c r="C2024" s="238">
        <f t="shared" si="43"/>
        <v>40118</v>
      </c>
    </row>
    <row r="2025" spans="1:3" ht="16.2" x14ac:dyDescent="0.35">
      <c r="A2025" s="20">
        <v>40136</v>
      </c>
      <c r="B2025" s="21">
        <v>4.83</v>
      </c>
      <c r="C2025" s="238">
        <f t="shared" si="43"/>
        <v>40118</v>
      </c>
    </row>
    <row r="2026" spans="1:3" ht="16.2" x14ac:dyDescent="0.35">
      <c r="A2026" s="20">
        <v>40142</v>
      </c>
      <c r="B2026" s="21">
        <v>4.78</v>
      </c>
      <c r="C2026" s="238">
        <f t="shared" si="43"/>
        <v>40118</v>
      </c>
    </row>
    <row r="2027" spans="1:3" ht="16.2" x14ac:dyDescent="0.35">
      <c r="A2027" s="20">
        <v>40150</v>
      </c>
      <c r="B2027" s="21">
        <v>4.71</v>
      </c>
      <c r="C2027" s="238">
        <f t="shared" si="43"/>
        <v>40148</v>
      </c>
    </row>
    <row r="2028" spans="1:3" ht="16.2" x14ac:dyDescent="0.35">
      <c r="A2028" s="20">
        <v>40157</v>
      </c>
      <c r="B2028" s="21">
        <v>4.8099999999999996</v>
      </c>
      <c r="C2028" s="238">
        <f t="shared" si="43"/>
        <v>40148</v>
      </c>
    </row>
    <row r="2029" spans="1:3" ht="16.2" x14ac:dyDescent="0.35">
      <c r="A2029" s="20">
        <v>40164</v>
      </c>
      <c r="B2029" s="21">
        <v>4.9400000000000004</v>
      </c>
      <c r="C2029" s="238">
        <f t="shared" si="43"/>
        <v>40148</v>
      </c>
    </row>
    <row r="2030" spans="1:3" ht="16.2" x14ac:dyDescent="0.35">
      <c r="A2030" s="20">
        <v>40171</v>
      </c>
      <c r="B2030" s="21">
        <v>5.05</v>
      </c>
      <c r="C2030" s="238">
        <f t="shared" si="43"/>
        <v>40148</v>
      </c>
    </row>
    <row r="2031" spans="1:3" ht="16.2" x14ac:dyDescent="0.35">
      <c r="A2031" s="20">
        <v>40178</v>
      </c>
      <c r="B2031" s="21">
        <v>5.14</v>
      </c>
      <c r="C2031" s="238">
        <f t="shared" si="43"/>
        <v>40148</v>
      </c>
    </row>
    <row r="2032" spans="1:3" ht="16.2" x14ac:dyDescent="0.35">
      <c r="A2032" s="20">
        <v>40185</v>
      </c>
      <c r="B2032" s="21">
        <v>5.09</v>
      </c>
      <c r="C2032" s="238">
        <f t="shared" si="43"/>
        <v>40179</v>
      </c>
    </row>
    <row r="2033" spans="1:3" ht="16.2" x14ac:dyDescent="0.35">
      <c r="A2033" s="20">
        <v>40192</v>
      </c>
      <c r="B2033" s="21">
        <v>5.0599999999999996</v>
      </c>
      <c r="C2033" s="238">
        <f t="shared" si="43"/>
        <v>40179</v>
      </c>
    </row>
    <row r="2034" spans="1:3" ht="16.2" x14ac:dyDescent="0.35">
      <c r="A2034" s="20">
        <v>40199</v>
      </c>
      <c r="B2034" s="21">
        <v>4.99</v>
      </c>
      <c r="C2034" s="238">
        <f t="shared" si="43"/>
        <v>40179</v>
      </c>
    </row>
    <row r="2035" spans="1:3" ht="16.2" x14ac:dyDescent="0.35">
      <c r="A2035" s="20">
        <v>40206</v>
      </c>
      <c r="B2035" s="21">
        <v>4.9800000000000004</v>
      </c>
      <c r="C2035" s="238">
        <f t="shared" si="43"/>
        <v>40179</v>
      </c>
    </row>
    <row r="2036" spans="1:3" ht="16.2" x14ac:dyDescent="0.35">
      <c r="A2036" s="20">
        <v>40213</v>
      </c>
      <c r="B2036" s="21">
        <v>5.01</v>
      </c>
      <c r="C2036" s="238">
        <f t="shared" si="43"/>
        <v>40210</v>
      </c>
    </row>
    <row r="2037" spans="1:3" ht="16.2" x14ac:dyDescent="0.35">
      <c r="A2037" s="20">
        <v>40220</v>
      </c>
      <c r="B2037" s="21">
        <v>4.97</v>
      </c>
      <c r="C2037" s="238">
        <f t="shared" si="43"/>
        <v>40210</v>
      </c>
    </row>
    <row r="2038" spans="1:3" ht="16.2" x14ac:dyDescent="0.35">
      <c r="A2038" s="20">
        <v>40227</v>
      </c>
      <c r="B2038" s="21">
        <v>4.93</v>
      </c>
      <c r="C2038" s="238">
        <f t="shared" si="43"/>
        <v>40210</v>
      </c>
    </row>
    <row r="2039" spans="1:3" ht="16.2" x14ac:dyDescent="0.35">
      <c r="A2039" s="20">
        <v>40234</v>
      </c>
      <c r="B2039" s="21">
        <v>5.05</v>
      </c>
      <c r="C2039" s="238">
        <f t="shared" si="43"/>
        <v>40210</v>
      </c>
    </row>
    <row r="2040" spans="1:3" ht="16.2" x14ac:dyDescent="0.35">
      <c r="A2040" s="20">
        <v>40241</v>
      </c>
      <c r="B2040" s="21">
        <v>4.97</v>
      </c>
      <c r="C2040" s="238">
        <f t="shared" si="43"/>
        <v>40238</v>
      </c>
    </row>
    <row r="2041" spans="1:3" ht="16.2" x14ac:dyDescent="0.35">
      <c r="A2041" s="20">
        <v>40248</v>
      </c>
      <c r="B2041" s="21">
        <v>4.95</v>
      </c>
      <c r="C2041" s="238">
        <f t="shared" si="43"/>
        <v>40238</v>
      </c>
    </row>
    <row r="2042" spans="1:3" ht="16.2" x14ac:dyDescent="0.35">
      <c r="A2042" s="20">
        <v>40255</v>
      </c>
      <c r="B2042" s="21">
        <v>4.96</v>
      </c>
      <c r="C2042" s="238">
        <f t="shared" si="43"/>
        <v>40238</v>
      </c>
    </row>
    <row r="2043" spans="1:3" ht="16.2" x14ac:dyDescent="0.35">
      <c r="A2043" s="20">
        <v>40262</v>
      </c>
      <c r="B2043" s="21">
        <v>4.99</v>
      </c>
      <c r="C2043" s="238">
        <f t="shared" si="43"/>
        <v>40238</v>
      </c>
    </row>
    <row r="2044" spans="1:3" ht="16.2" x14ac:dyDescent="0.35">
      <c r="A2044" s="20">
        <v>40269</v>
      </c>
      <c r="B2044" s="21">
        <v>5.08</v>
      </c>
      <c r="C2044" s="238">
        <f t="shared" si="43"/>
        <v>40269</v>
      </c>
    </row>
    <row r="2045" spans="1:3" ht="16.2" x14ac:dyDescent="0.35">
      <c r="A2045" s="20">
        <v>40276</v>
      </c>
      <c r="B2045" s="21">
        <v>5.21</v>
      </c>
      <c r="C2045" s="238">
        <f t="shared" si="43"/>
        <v>40269</v>
      </c>
    </row>
    <row r="2046" spans="1:3" ht="16.2" x14ac:dyDescent="0.35">
      <c r="A2046" s="20">
        <v>40283</v>
      </c>
      <c r="B2046" s="21">
        <v>5.07</v>
      </c>
      <c r="C2046" s="238">
        <f t="shared" si="43"/>
        <v>40269</v>
      </c>
    </row>
    <row r="2047" spans="1:3" ht="16.2" x14ac:dyDescent="0.35">
      <c r="A2047" s="20">
        <v>40290</v>
      </c>
      <c r="B2047" s="21">
        <v>5.07</v>
      </c>
      <c r="C2047" s="238">
        <f t="shared" si="43"/>
        <v>40269</v>
      </c>
    </row>
    <row r="2048" spans="1:3" ht="16.2" x14ac:dyDescent="0.35">
      <c r="A2048" s="20">
        <v>40297</v>
      </c>
      <c r="B2048" s="21">
        <v>5.0599999999999996</v>
      </c>
      <c r="C2048" s="238">
        <f t="shared" si="43"/>
        <v>40269</v>
      </c>
    </row>
    <row r="2049" spans="1:3" ht="16.2" x14ac:dyDescent="0.35">
      <c r="A2049" s="20">
        <v>40304</v>
      </c>
      <c r="B2049" s="21">
        <v>5</v>
      </c>
      <c r="C2049" s="238">
        <f t="shared" si="43"/>
        <v>40299</v>
      </c>
    </row>
    <row r="2050" spans="1:3" ht="16.2" x14ac:dyDescent="0.35">
      <c r="A2050" s="20">
        <v>40311</v>
      </c>
      <c r="B2050" s="21">
        <v>4.93</v>
      </c>
      <c r="C2050" s="238">
        <f t="shared" si="43"/>
        <v>40299</v>
      </c>
    </row>
    <row r="2051" spans="1:3" ht="16.2" x14ac:dyDescent="0.35">
      <c r="A2051" s="20">
        <v>40318</v>
      </c>
      <c r="B2051" s="21">
        <v>4.84</v>
      </c>
      <c r="C2051" s="238">
        <f t="shared" si="43"/>
        <v>40299</v>
      </c>
    </row>
    <row r="2052" spans="1:3" ht="16.2" x14ac:dyDescent="0.35">
      <c r="A2052" s="20">
        <v>40325</v>
      </c>
      <c r="B2052" s="21">
        <v>4.78</v>
      </c>
      <c r="C2052" s="238">
        <f t="shared" si="43"/>
        <v>40299</v>
      </c>
    </row>
    <row r="2053" spans="1:3" ht="16.2" x14ac:dyDescent="0.35">
      <c r="A2053" s="20">
        <v>40332</v>
      </c>
      <c r="B2053" s="21">
        <v>4.79</v>
      </c>
      <c r="C2053" s="238">
        <f t="shared" si="43"/>
        <v>40330</v>
      </c>
    </row>
    <row r="2054" spans="1:3" ht="16.2" x14ac:dyDescent="0.35">
      <c r="A2054" s="20">
        <v>40339</v>
      </c>
      <c r="B2054" s="21">
        <v>4.72</v>
      </c>
      <c r="C2054" s="238">
        <f t="shared" si="43"/>
        <v>40330</v>
      </c>
    </row>
    <row r="2055" spans="1:3" ht="16.2" x14ac:dyDescent="0.35">
      <c r="A2055" s="20">
        <v>40346</v>
      </c>
      <c r="B2055" s="21">
        <v>4.75</v>
      </c>
      <c r="C2055" s="238">
        <f t="shared" si="43"/>
        <v>40330</v>
      </c>
    </row>
    <row r="2056" spans="1:3" ht="16.2" x14ac:dyDescent="0.35">
      <c r="A2056" s="20">
        <v>40353</v>
      </c>
      <c r="B2056" s="21">
        <v>4.6900000000000004</v>
      </c>
      <c r="C2056" s="238">
        <f t="shared" si="43"/>
        <v>40330</v>
      </c>
    </row>
    <row r="2057" spans="1:3" ht="16.2" x14ac:dyDescent="0.35">
      <c r="A2057" s="20">
        <v>40360</v>
      </c>
      <c r="B2057" s="21">
        <v>4.58</v>
      </c>
      <c r="C2057" s="238">
        <f t="shared" si="43"/>
        <v>40360</v>
      </c>
    </row>
    <row r="2058" spans="1:3" ht="16.2" x14ac:dyDescent="0.35">
      <c r="A2058" s="20">
        <v>40367</v>
      </c>
      <c r="B2058" s="21">
        <v>4.57</v>
      </c>
      <c r="C2058" s="238">
        <f t="shared" si="43"/>
        <v>40360</v>
      </c>
    </row>
    <row r="2059" spans="1:3" ht="16.2" x14ac:dyDescent="0.35">
      <c r="A2059" s="20">
        <v>40374</v>
      </c>
      <c r="B2059" s="21">
        <v>4.57</v>
      </c>
      <c r="C2059" s="238">
        <f t="shared" si="43"/>
        <v>40360</v>
      </c>
    </row>
    <row r="2060" spans="1:3" ht="16.2" x14ac:dyDescent="0.35">
      <c r="A2060" s="20">
        <v>40381</v>
      </c>
      <c r="B2060" s="21">
        <v>4.5599999999999996</v>
      </c>
      <c r="C2060" s="238">
        <f t="shared" si="43"/>
        <v>40360</v>
      </c>
    </row>
    <row r="2061" spans="1:3" ht="16.2" x14ac:dyDescent="0.35">
      <c r="A2061" s="20">
        <v>40388</v>
      </c>
      <c r="B2061" s="21">
        <v>4.54</v>
      </c>
      <c r="C2061" s="238">
        <f t="shared" si="43"/>
        <v>40360</v>
      </c>
    </row>
    <row r="2062" spans="1:3" ht="16.2" x14ac:dyDescent="0.35">
      <c r="A2062" s="20">
        <v>40395</v>
      </c>
      <c r="B2062" s="21">
        <v>4.49</v>
      </c>
      <c r="C2062" s="238">
        <f t="shared" si="43"/>
        <v>40391</v>
      </c>
    </row>
    <row r="2063" spans="1:3" ht="16.2" x14ac:dyDescent="0.35">
      <c r="A2063" s="20">
        <v>40402</v>
      </c>
      <c r="B2063" s="21">
        <v>4.4400000000000004</v>
      </c>
      <c r="C2063" s="238">
        <f t="shared" si="43"/>
        <v>40391</v>
      </c>
    </row>
    <row r="2064" spans="1:3" ht="16.2" x14ac:dyDescent="0.35">
      <c r="A2064" s="20">
        <v>40409</v>
      </c>
      <c r="B2064" s="21">
        <v>4.42</v>
      </c>
      <c r="C2064" s="238">
        <f t="shared" ref="C2064:C2127" si="44">EOMONTH(A2064,-1)+1</f>
        <v>40391</v>
      </c>
    </row>
    <row r="2065" spans="1:3" ht="16.2" x14ac:dyDescent="0.35">
      <c r="A2065" s="20">
        <v>40416</v>
      </c>
      <c r="B2065" s="21">
        <v>4.3600000000000003</v>
      </c>
      <c r="C2065" s="238">
        <f t="shared" si="44"/>
        <v>40391</v>
      </c>
    </row>
    <row r="2066" spans="1:3" ht="16.2" x14ac:dyDescent="0.35">
      <c r="A2066" s="20">
        <v>40423</v>
      </c>
      <c r="B2066" s="21">
        <v>4.32</v>
      </c>
      <c r="C2066" s="238">
        <f t="shared" si="44"/>
        <v>40422</v>
      </c>
    </row>
    <row r="2067" spans="1:3" ht="16.2" x14ac:dyDescent="0.35">
      <c r="A2067" s="20">
        <v>40430</v>
      </c>
      <c r="B2067" s="21">
        <v>4.3499999999999996</v>
      </c>
      <c r="C2067" s="238">
        <f t="shared" si="44"/>
        <v>40422</v>
      </c>
    </row>
    <row r="2068" spans="1:3" ht="16.2" x14ac:dyDescent="0.35">
      <c r="A2068" s="20">
        <v>40437</v>
      </c>
      <c r="B2068" s="21">
        <v>4.37</v>
      </c>
      <c r="C2068" s="238">
        <f t="shared" si="44"/>
        <v>40422</v>
      </c>
    </row>
    <row r="2069" spans="1:3" ht="16.2" x14ac:dyDescent="0.35">
      <c r="A2069" s="20">
        <v>40444</v>
      </c>
      <c r="B2069" s="21">
        <v>4.37</v>
      </c>
      <c r="C2069" s="238">
        <f t="shared" si="44"/>
        <v>40422</v>
      </c>
    </row>
    <row r="2070" spans="1:3" ht="16.2" x14ac:dyDescent="0.35">
      <c r="A2070" s="20">
        <v>40451</v>
      </c>
      <c r="B2070" s="21">
        <v>4.32</v>
      </c>
      <c r="C2070" s="238">
        <f t="shared" si="44"/>
        <v>40422</v>
      </c>
    </row>
    <row r="2071" spans="1:3" ht="16.2" x14ac:dyDescent="0.35">
      <c r="A2071" s="20">
        <v>40458</v>
      </c>
      <c r="B2071" s="21">
        <v>4.2699999999999996</v>
      </c>
      <c r="C2071" s="238">
        <f t="shared" si="44"/>
        <v>40452</v>
      </c>
    </row>
    <row r="2072" spans="1:3" ht="16.2" x14ac:dyDescent="0.35">
      <c r="A2072" s="20">
        <v>40465</v>
      </c>
      <c r="B2072" s="21">
        <v>4.1900000000000004</v>
      </c>
      <c r="C2072" s="238">
        <f t="shared" si="44"/>
        <v>40452</v>
      </c>
    </row>
    <row r="2073" spans="1:3" ht="16.2" x14ac:dyDescent="0.35">
      <c r="A2073" s="20">
        <v>40472</v>
      </c>
      <c r="B2073" s="21">
        <v>4.21</v>
      </c>
      <c r="C2073" s="238">
        <f t="shared" si="44"/>
        <v>40452</v>
      </c>
    </row>
    <row r="2074" spans="1:3" ht="16.2" x14ac:dyDescent="0.35">
      <c r="A2074" s="20">
        <v>40479</v>
      </c>
      <c r="B2074" s="21">
        <v>4.2300000000000004</v>
      </c>
      <c r="C2074" s="238">
        <f t="shared" si="44"/>
        <v>40452</v>
      </c>
    </row>
    <row r="2075" spans="1:3" ht="16.2" x14ac:dyDescent="0.35">
      <c r="A2075" s="20">
        <v>40486</v>
      </c>
      <c r="B2075" s="21">
        <v>4.24</v>
      </c>
      <c r="C2075" s="238">
        <f t="shared" si="44"/>
        <v>40483</v>
      </c>
    </row>
    <row r="2076" spans="1:3" ht="16.2" x14ac:dyDescent="0.35">
      <c r="A2076" s="20">
        <v>40493</v>
      </c>
      <c r="B2076" s="21">
        <v>4.17</v>
      </c>
      <c r="C2076" s="238">
        <f t="shared" si="44"/>
        <v>40483</v>
      </c>
    </row>
    <row r="2077" spans="1:3" ht="16.2" x14ac:dyDescent="0.35">
      <c r="A2077" s="20">
        <v>40500</v>
      </c>
      <c r="B2077" s="21">
        <v>4.3899999999999997</v>
      </c>
      <c r="C2077" s="238">
        <f t="shared" si="44"/>
        <v>40483</v>
      </c>
    </row>
    <row r="2078" spans="1:3" ht="16.2" x14ac:dyDescent="0.35">
      <c r="A2078" s="20">
        <v>40506</v>
      </c>
      <c r="B2078" s="21">
        <v>4.4000000000000004</v>
      </c>
      <c r="C2078" s="238">
        <f t="shared" si="44"/>
        <v>40483</v>
      </c>
    </row>
    <row r="2079" spans="1:3" ht="16.2" x14ac:dyDescent="0.35">
      <c r="A2079" s="20">
        <v>40514</v>
      </c>
      <c r="B2079" s="21">
        <v>4.46</v>
      </c>
      <c r="C2079" s="238">
        <f t="shared" si="44"/>
        <v>40513</v>
      </c>
    </row>
    <row r="2080" spans="1:3" ht="16.2" x14ac:dyDescent="0.35">
      <c r="A2080" s="20">
        <v>40521</v>
      </c>
      <c r="B2080" s="21">
        <v>4.6100000000000003</v>
      </c>
      <c r="C2080" s="238">
        <f t="shared" si="44"/>
        <v>40513</v>
      </c>
    </row>
    <row r="2081" spans="1:3" ht="16.2" x14ac:dyDescent="0.35">
      <c r="A2081" s="20">
        <v>40528</v>
      </c>
      <c r="B2081" s="21">
        <v>4.83</v>
      </c>
      <c r="C2081" s="238">
        <f t="shared" si="44"/>
        <v>40513</v>
      </c>
    </row>
    <row r="2082" spans="1:3" ht="16.2" x14ac:dyDescent="0.35">
      <c r="A2082" s="20">
        <v>40535</v>
      </c>
      <c r="B2082" s="21">
        <v>4.8099999999999996</v>
      </c>
      <c r="C2082" s="238">
        <f t="shared" si="44"/>
        <v>40513</v>
      </c>
    </row>
    <row r="2083" spans="1:3" ht="16.2" x14ac:dyDescent="0.35">
      <c r="A2083" s="20">
        <v>40542</v>
      </c>
      <c r="B2083" s="21">
        <v>4.8600000000000003</v>
      </c>
      <c r="C2083" s="238">
        <f t="shared" si="44"/>
        <v>40513</v>
      </c>
    </row>
    <row r="2084" spans="1:3" ht="16.2" x14ac:dyDescent="0.35">
      <c r="A2084" s="20">
        <v>40549</v>
      </c>
      <c r="B2084" s="21">
        <v>4.7699999999999996</v>
      </c>
      <c r="C2084" s="238">
        <f t="shared" si="44"/>
        <v>40544</v>
      </c>
    </row>
    <row r="2085" spans="1:3" ht="16.2" x14ac:dyDescent="0.35">
      <c r="A2085" s="20">
        <v>40556</v>
      </c>
      <c r="B2085" s="21">
        <v>4.71</v>
      </c>
      <c r="C2085" s="238">
        <f t="shared" si="44"/>
        <v>40544</v>
      </c>
    </row>
    <row r="2086" spans="1:3" ht="16.2" x14ac:dyDescent="0.35">
      <c r="A2086" s="20">
        <v>40563</v>
      </c>
      <c r="B2086" s="21">
        <v>4.74</v>
      </c>
      <c r="C2086" s="238">
        <f t="shared" si="44"/>
        <v>40544</v>
      </c>
    </row>
    <row r="2087" spans="1:3" ht="16.2" x14ac:dyDescent="0.35">
      <c r="A2087" s="20">
        <v>40570</v>
      </c>
      <c r="B2087" s="21">
        <v>4.8</v>
      </c>
      <c r="C2087" s="238">
        <f t="shared" si="44"/>
        <v>40544</v>
      </c>
    </row>
    <row r="2088" spans="1:3" ht="16.2" x14ac:dyDescent="0.35">
      <c r="A2088" s="20">
        <v>40577</v>
      </c>
      <c r="B2088" s="21">
        <v>4.8099999999999996</v>
      </c>
      <c r="C2088" s="238">
        <f t="shared" si="44"/>
        <v>40575</v>
      </c>
    </row>
    <row r="2089" spans="1:3" ht="16.2" x14ac:dyDescent="0.35">
      <c r="A2089" s="20">
        <v>40584</v>
      </c>
      <c r="B2089" s="21">
        <v>5.05</v>
      </c>
      <c r="C2089" s="238">
        <f t="shared" si="44"/>
        <v>40575</v>
      </c>
    </row>
    <row r="2090" spans="1:3" ht="16.2" x14ac:dyDescent="0.35">
      <c r="A2090" s="20">
        <v>40591</v>
      </c>
      <c r="B2090" s="21">
        <v>5</v>
      </c>
      <c r="C2090" s="238">
        <f t="shared" si="44"/>
        <v>40575</v>
      </c>
    </row>
    <row r="2091" spans="1:3" ht="16.2" x14ac:dyDescent="0.35">
      <c r="A2091" s="20">
        <v>40598</v>
      </c>
      <c r="B2091" s="21">
        <v>4.95</v>
      </c>
      <c r="C2091" s="238">
        <f t="shared" si="44"/>
        <v>40575</v>
      </c>
    </row>
    <row r="2092" spans="1:3" ht="16.2" x14ac:dyDescent="0.35">
      <c r="A2092" s="20">
        <v>40605</v>
      </c>
      <c r="B2092" s="21">
        <v>4.87</v>
      </c>
      <c r="C2092" s="238">
        <f t="shared" si="44"/>
        <v>40603</v>
      </c>
    </row>
    <row r="2093" spans="1:3" ht="16.2" x14ac:dyDescent="0.35">
      <c r="A2093" s="20">
        <v>40612</v>
      </c>
      <c r="B2093" s="21">
        <v>4.88</v>
      </c>
      <c r="C2093" s="238">
        <f t="shared" si="44"/>
        <v>40603</v>
      </c>
    </row>
    <row r="2094" spans="1:3" ht="16.2" x14ac:dyDescent="0.35">
      <c r="A2094" s="20">
        <v>40619</v>
      </c>
      <c r="B2094" s="21">
        <v>4.76</v>
      </c>
      <c r="C2094" s="238">
        <f t="shared" si="44"/>
        <v>40603</v>
      </c>
    </row>
    <row r="2095" spans="1:3" ht="16.2" x14ac:dyDescent="0.35">
      <c r="A2095" s="20">
        <v>40626</v>
      </c>
      <c r="B2095" s="21">
        <v>4.8099999999999996</v>
      </c>
      <c r="C2095" s="238">
        <f t="shared" si="44"/>
        <v>40603</v>
      </c>
    </row>
    <row r="2096" spans="1:3" ht="16.2" x14ac:dyDescent="0.35">
      <c r="A2096" s="20">
        <v>40633</v>
      </c>
      <c r="B2096" s="21">
        <v>4.8600000000000003</v>
      </c>
      <c r="C2096" s="238">
        <f t="shared" si="44"/>
        <v>40603</v>
      </c>
    </row>
    <row r="2097" spans="1:3" ht="16.2" x14ac:dyDescent="0.35">
      <c r="A2097" s="20">
        <v>40640</v>
      </c>
      <c r="B2097" s="21">
        <v>4.87</v>
      </c>
      <c r="C2097" s="238">
        <f t="shared" si="44"/>
        <v>40634</v>
      </c>
    </row>
    <row r="2098" spans="1:3" ht="16.2" x14ac:dyDescent="0.35">
      <c r="A2098" s="20">
        <v>40647</v>
      </c>
      <c r="B2098" s="21">
        <v>4.91</v>
      </c>
      <c r="C2098" s="238">
        <f t="shared" si="44"/>
        <v>40634</v>
      </c>
    </row>
    <row r="2099" spans="1:3" ht="16.2" x14ac:dyDescent="0.35">
      <c r="A2099" s="20">
        <v>40654</v>
      </c>
      <c r="B2099" s="21">
        <v>4.8</v>
      </c>
      <c r="C2099" s="238">
        <f t="shared" si="44"/>
        <v>40634</v>
      </c>
    </row>
    <row r="2100" spans="1:3" ht="16.2" x14ac:dyDescent="0.35">
      <c r="A2100" s="20">
        <v>40661</v>
      </c>
      <c r="B2100" s="21">
        <v>4.78</v>
      </c>
      <c r="C2100" s="238">
        <f t="shared" si="44"/>
        <v>40634</v>
      </c>
    </row>
    <row r="2101" spans="1:3" ht="16.2" x14ac:dyDescent="0.35">
      <c r="A2101" s="20">
        <v>40668</v>
      </c>
      <c r="B2101" s="21">
        <v>4.71</v>
      </c>
      <c r="C2101" s="238">
        <f t="shared" si="44"/>
        <v>40664</v>
      </c>
    </row>
    <row r="2102" spans="1:3" ht="16.2" x14ac:dyDescent="0.35">
      <c r="A2102" s="20">
        <v>40675</v>
      </c>
      <c r="B2102" s="21">
        <v>4.63</v>
      </c>
      <c r="C2102" s="238">
        <f t="shared" si="44"/>
        <v>40664</v>
      </c>
    </row>
    <row r="2103" spans="1:3" ht="16.2" x14ac:dyDescent="0.35">
      <c r="A2103" s="20">
        <v>40682</v>
      </c>
      <c r="B2103" s="21">
        <v>4.6100000000000003</v>
      </c>
      <c r="C2103" s="238">
        <f t="shared" si="44"/>
        <v>40664</v>
      </c>
    </row>
    <row r="2104" spans="1:3" ht="16.2" x14ac:dyDescent="0.35">
      <c r="A2104" s="20">
        <v>40689</v>
      </c>
      <c r="B2104" s="21">
        <v>4.5999999999999996</v>
      </c>
      <c r="C2104" s="238">
        <f t="shared" si="44"/>
        <v>40664</v>
      </c>
    </row>
    <row r="2105" spans="1:3" ht="16.2" x14ac:dyDescent="0.35">
      <c r="A2105" s="20">
        <v>40696</v>
      </c>
      <c r="B2105" s="21">
        <v>4.55</v>
      </c>
      <c r="C2105" s="238">
        <f t="shared" si="44"/>
        <v>40695</v>
      </c>
    </row>
    <row r="2106" spans="1:3" ht="16.2" x14ac:dyDescent="0.35">
      <c r="A2106" s="20">
        <v>40703</v>
      </c>
      <c r="B2106" s="21">
        <v>4.49</v>
      </c>
      <c r="C2106" s="238">
        <f t="shared" si="44"/>
        <v>40695</v>
      </c>
    </row>
    <row r="2107" spans="1:3" ht="16.2" x14ac:dyDescent="0.35">
      <c r="A2107" s="20">
        <v>40710</v>
      </c>
      <c r="B2107" s="21">
        <v>4.5</v>
      </c>
      <c r="C2107" s="238">
        <f t="shared" si="44"/>
        <v>40695</v>
      </c>
    </row>
    <row r="2108" spans="1:3" ht="16.2" x14ac:dyDescent="0.35">
      <c r="A2108" s="20">
        <v>40717</v>
      </c>
      <c r="B2108" s="21">
        <v>4.5</v>
      </c>
      <c r="C2108" s="238">
        <f t="shared" si="44"/>
        <v>40695</v>
      </c>
    </row>
    <row r="2109" spans="1:3" ht="16.2" x14ac:dyDescent="0.35">
      <c r="A2109" s="20">
        <v>40724</v>
      </c>
      <c r="B2109" s="21">
        <v>4.51</v>
      </c>
      <c r="C2109" s="238">
        <f t="shared" si="44"/>
        <v>40695</v>
      </c>
    </row>
    <row r="2110" spans="1:3" ht="16.2" x14ac:dyDescent="0.35">
      <c r="A2110" s="20">
        <v>40731</v>
      </c>
      <c r="B2110" s="21">
        <v>4.5999999999999996</v>
      </c>
      <c r="C2110" s="238">
        <f t="shared" si="44"/>
        <v>40725</v>
      </c>
    </row>
    <row r="2111" spans="1:3" ht="16.2" x14ac:dyDescent="0.35">
      <c r="A2111" s="20">
        <v>40738</v>
      </c>
      <c r="B2111" s="21">
        <v>4.51</v>
      </c>
      <c r="C2111" s="238">
        <f t="shared" si="44"/>
        <v>40725</v>
      </c>
    </row>
    <row r="2112" spans="1:3" ht="16.2" x14ac:dyDescent="0.35">
      <c r="A2112" s="20">
        <v>40745</v>
      </c>
      <c r="B2112" s="21">
        <v>4.5199999999999996</v>
      </c>
      <c r="C2112" s="238">
        <f t="shared" si="44"/>
        <v>40725</v>
      </c>
    </row>
    <row r="2113" spans="1:3" ht="16.2" x14ac:dyDescent="0.35">
      <c r="A2113" s="20">
        <v>40752</v>
      </c>
      <c r="B2113" s="21">
        <v>4.55</v>
      </c>
      <c r="C2113" s="238">
        <f t="shared" si="44"/>
        <v>40725</v>
      </c>
    </row>
    <row r="2114" spans="1:3" ht="16.2" x14ac:dyDescent="0.35">
      <c r="A2114" s="20">
        <v>40759</v>
      </c>
      <c r="B2114" s="21">
        <v>4.3899999999999997</v>
      </c>
      <c r="C2114" s="238">
        <f t="shared" si="44"/>
        <v>40756</v>
      </c>
    </row>
    <row r="2115" spans="1:3" ht="16.2" x14ac:dyDescent="0.35">
      <c r="A2115" s="20">
        <v>40766</v>
      </c>
      <c r="B2115" s="21">
        <v>4.32</v>
      </c>
      <c r="C2115" s="238">
        <f t="shared" si="44"/>
        <v>40756</v>
      </c>
    </row>
    <row r="2116" spans="1:3" ht="16.2" x14ac:dyDescent="0.35">
      <c r="A2116" s="20">
        <v>40773</v>
      </c>
      <c r="B2116" s="21">
        <v>4.1500000000000004</v>
      </c>
      <c r="C2116" s="238">
        <f t="shared" si="44"/>
        <v>40756</v>
      </c>
    </row>
    <row r="2117" spans="1:3" ht="16.2" x14ac:dyDescent="0.35">
      <c r="A2117" s="20">
        <v>40780</v>
      </c>
      <c r="B2117" s="21">
        <v>4.22</v>
      </c>
      <c r="C2117" s="238">
        <f t="shared" si="44"/>
        <v>40756</v>
      </c>
    </row>
    <row r="2118" spans="1:3" ht="16.2" x14ac:dyDescent="0.35">
      <c r="A2118" s="20">
        <v>40787</v>
      </c>
      <c r="B2118" s="21">
        <v>4.22</v>
      </c>
      <c r="C2118" s="238">
        <f t="shared" si="44"/>
        <v>40787</v>
      </c>
    </row>
    <row r="2119" spans="1:3" ht="16.2" x14ac:dyDescent="0.35">
      <c r="A2119" s="20">
        <v>40794</v>
      </c>
      <c r="B2119" s="21">
        <v>4.12</v>
      </c>
      <c r="C2119" s="238">
        <f t="shared" si="44"/>
        <v>40787</v>
      </c>
    </row>
    <row r="2120" spans="1:3" ht="16.2" x14ac:dyDescent="0.35">
      <c r="A2120" s="20">
        <v>40801</v>
      </c>
      <c r="B2120" s="21">
        <v>4.09</v>
      </c>
      <c r="C2120" s="238">
        <f t="shared" si="44"/>
        <v>40787</v>
      </c>
    </row>
    <row r="2121" spans="1:3" ht="16.2" x14ac:dyDescent="0.35">
      <c r="A2121" s="20">
        <v>40808</v>
      </c>
      <c r="B2121" s="21">
        <v>4.09</v>
      </c>
      <c r="C2121" s="238">
        <f t="shared" si="44"/>
        <v>40787</v>
      </c>
    </row>
    <row r="2122" spans="1:3" ht="16.2" x14ac:dyDescent="0.35">
      <c r="A2122" s="20">
        <v>40815</v>
      </c>
      <c r="B2122" s="21">
        <v>4.01</v>
      </c>
      <c r="C2122" s="238">
        <f t="shared" si="44"/>
        <v>40787</v>
      </c>
    </row>
    <row r="2123" spans="1:3" ht="16.2" x14ac:dyDescent="0.35">
      <c r="A2123" s="20">
        <v>40822</v>
      </c>
      <c r="B2123" s="21">
        <v>3.94</v>
      </c>
      <c r="C2123" s="238">
        <f t="shared" si="44"/>
        <v>40817</v>
      </c>
    </row>
    <row r="2124" spans="1:3" ht="16.2" x14ac:dyDescent="0.35">
      <c r="A2124" s="20">
        <v>40829</v>
      </c>
      <c r="B2124" s="21">
        <v>4.12</v>
      </c>
      <c r="C2124" s="238">
        <f t="shared" si="44"/>
        <v>40817</v>
      </c>
    </row>
    <row r="2125" spans="1:3" ht="16.2" x14ac:dyDescent="0.35">
      <c r="A2125" s="20">
        <v>40836</v>
      </c>
      <c r="B2125" s="21">
        <v>4.1100000000000003</v>
      </c>
      <c r="C2125" s="238">
        <f t="shared" si="44"/>
        <v>40817</v>
      </c>
    </row>
    <row r="2126" spans="1:3" ht="16.2" x14ac:dyDescent="0.35">
      <c r="A2126" s="20">
        <v>40843</v>
      </c>
      <c r="B2126" s="21">
        <v>4.0999999999999996</v>
      </c>
      <c r="C2126" s="238">
        <f t="shared" si="44"/>
        <v>40817</v>
      </c>
    </row>
    <row r="2127" spans="1:3" ht="16.2" x14ac:dyDescent="0.35">
      <c r="A2127" s="20">
        <v>40850</v>
      </c>
      <c r="B2127" s="21">
        <v>4</v>
      </c>
      <c r="C2127" s="238">
        <f t="shared" si="44"/>
        <v>40848</v>
      </c>
    </row>
    <row r="2128" spans="1:3" ht="16.2" x14ac:dyDescent="0.35">
      <c r="A2128" s="20">
        <v>40857</v>
      </c>
      <c r="B2128" s="21">
        <v>3.99</v>
      </c>
      <c r="C2128" s="238">
        <f t="shared" ref="C2128:C2191" si="45">EOMONTH(A2128,-1)+1</f>
        <v>40848</v>
      </c>
    </row>
    <row r="2129" spans="1:3" ht="16.2" x14ac:dyDescent="0.35">
      <c r="A2129" s="20">
        <v>40864</v>
      </c>
      <c r="B2129" s="21">
        <v>4</v>
      </c>
      <c r="C2129" s="238">
        <f t="shared" si="45"/>
        <v>40848</v>
      </c>
    </row>
    <row r="2130" spans="1:3" ht="16.2" x14ac:dyDescent="0.35">
      <c r="A2130" s="20">
        <v>40870</v>
      </c>
      <c r="B2130" s="21">
        <v>3.98</v>
      </c>
      <c r="C2130" s="238">
        <f t="shared" si="45"/>
        <v>40848</v>
      </c>
    </row>
    <row r="2131" spans="1:3" ht="16.2" x14ac:dyDescent="0.35">
      <c r="A2131" s="20">
        <v>40878</v>
      </c>
      <c r="B2131" s="21">
        <v>4</v>
      </c>
      <c r="C2131" s="238">
        <f t="shared" si="45"/>
        <v>40878</v>
      </c>
    </row>
    <row r="2132" spans="1:3" ht="16.2" x14ac:dyDescent="0.35">
      <c r="A2132" s="20">
        <v>40885</v>
      </c>
      <c r="B2132" s="21">
        <v>3.99</v>
      </c>
      <c r="C2132" s="238">
        <f t="shared" si="45"/>
        <v>40878</v>
      </c>
    </row>
    <row r="2133" spans="1:3" ht="16.2" x14ac:dyDescent="0.35">
      <c r="A2133" s="20">
        <v>40892</v>
      </c>
      <c r="B2133" s="21">
        <v>3.94</v>
      </c>
      <c r="C2133" s="238">
        <f t="shared" si="45"/>
        <v>40878</v>
      </c>
    </row>
    <row r="2134" spans="1:3" ht="16.2" x14ac:dyDescent="0.35">
      <c r="A2134" s="20">
        <v>40899</v>
      </c>
      <c r="B2134" s="21">
        <v>3.91</v>
      </c>
      <c r="C2134" s="238">
        <f t="shared" si="45"/>
        <v>40878</v>
      </c>
    </row>
    <row r="2135" spans="1:3" ht="16.2" x14ac:dyDescent="0.35">
      <c r="A2135" s="20">
        <v>40906</v>
      </c>
      <c r="B2135" s="21">
        <v>3.95</v>
      </c>
      <c r="C2135" s="238">
        <f t="shared" si="45"/>
        <v>40878</v>
      </c>
    </row>
    <row r="2136" spans="1:3" ht="16.2" x14ac:dyDescent="0.35">
      <c r="A2136" s="20">
        <v>40913</v>
      </c>
      <c r="B2136" s="21">
        <v>3.91</v>
      </c>
      <c r="C2136" s="238">
        <f t="shared" si="45"/>
        <v>40909</v>
      </c>
    </row>
    <row r="2137" spans="1:3" ht="16.2" x14ac:dyDescent="0.35">
      <c r="A2137" s="20">
        <v>40920</v>
      </c>
      <c r="B2137" s="21">
        <v>3.89</v>
      </c>
      <c r="C2137" s="238">
        <f t="shared" si="45"/>
        <v>40909</v>
      </c>
    </row>
    <row r="2138" spans="1:3" ht="16.2" x14ac:dyDescent="0.35">
      <c r="A2138" s="20">
        <v>40927</v>
      </c>
      <c r="B2138" s="21">
        <v>3.88</v>
      </c>
      <c r="C2138" s="238">
        <f t="shared" si="45"/>
        <v>40909</v>
      </c>
    </row>
    <row r="2139" spans="1:3" ht="16.2" x14ac:dyDescent="0.35">
      <c r="A2139" s="20">
        <v>40934</v>
      </c>
      <c r="B2139" s="21">
        <v>3.98</v>
      </c>
      <c r="C2139" s="238">
        <f t="shared" si="45"/>
        <v>40909</v>
      </c>
    </row>
    <row r="2140" spans="1:3" ht="16.2" x14ac:dyDescent="0.35">
      <c r="A2140" s="20">
        <v>40941</v>
      </c>
      <c r="B2140" s="21">
        <v>3.87</v>
      </c>
      <c r="C2140" s="238">
        <f t="shared" si="45"/>
        <v>40940</v>
      </c>
    </row>
    <row r="2141" spans="1:3" ht="16.2" x14ac:dyDescent="0.35">
      <c r="A2141" s="20">
        <v>40948</v>
      </c>
      <c r="B2141" s="21">
        <v>3.87</v>
      </c>
      <c r="C2141" s="238">
        <f t="shared" si="45"/>
        <v>40940</v>
      </c>
    </row>
    <row r="2142" spans="1:3" ht="16.2" x14ac:dyDescent="0.35">
      <c r="A2142" s="20">
        <v>40955</v>
      </c>
      <c r="B2142" s="21">
        <v>3.87</v>
      </c>
      <c r="C2142" s="238">
        <f t="shared" si="45"/>
        <v>40940</v>
      </c>
    </row>
    <row r="2143" spans="1:3" ht="16.2" x14ac:dyDescent="0.35">
      <c r="A2143" s="20">
        <v>40962</v>
      </c>
      <c r="B2143" s="21">
        <v>3.95</v>
      </c>
      <c r="C2143" s="238">
        <f t="shared" si="45"/>
        <v>40940</v>
      </c>
    </row>
    <row r="2144" spans="1:3" ht="16.2" x14ac:dyDescent="0.35">
      <c r="A2144" s="20">
        <v>40969</v>
      </c>
      <c r="B2144" s="21">
        <v>3.9</v>
      </c>
      <c r="C2144" s="238">
        <f t="shared" si="45"/>
        <v>40969</v>
      </c>
    </row>
    <row r="2145" spans="1:3" ht="16.2" x14ac:dyDescent="0.35">
      <c r="A2145" s="20">
        <v>40976</v>
      </c>
      <c r="B2145" s="21">
        <v>3.88</v>
      </c>
      <c r="C2145" s="238">
        <f t="shared" si="45"/>
        <v>40969</v>
      </c>
    </row>
    <row r="2146" spans="1:3" ht="16.2" x14ac:dyDescent="0.35">
      <c r="A2146" s="20">
        <v>40983</v>
      </c>
      <c r="B2146" s="21">
        <v>3.92</v>
      </c>
      <c r="C2146" s="238">
        <f t="shared" si="45"/>
        <v>40969</v>
      </c>
    </row>
    <row r="2147" spans="1:3" ht="16.2" x14ac:dyDescent="0.35">
      <c r="A2147" s="20">
        <v>40990</v>
      </c>
      <c r="B2147" s="21">
        <v>4.08</v>
      </c>
      <c r="C2147" s="238">
        <f t="shared" si="45"/>
        <v>40969</v>
      </c>
    </row>
    <row r="2148" spans="1:3" ht="16.2" x14ac:dyDescent="0.35">
      <c r="A2148" s="20">
        <v>40997</v>
      </c>
      <c r="B2148" s="21">
        <v>3.99</v>
      </c>
      <c r="C2148" s="238">
        <f t="shared" si="45"/>
        <v>40969</v>
      </c>
    </row>
    <row r="2149" spans="1:3" ht="16.2" x14ac:dyDescent="0.35">
      <c r="A2149" s="20">
        <v>41004</v>
      </c>
      <c r="B2149" s="21">
        <v>3.98</v>
      </c>
      <c r="C2149" s="238">
        <f t="shared" si="45"/>
        <v>41000</v>
      </c>
    </row>
    <row r="2150" spans="1:3" ht="16.2" x14ac:dyDescent="0.35">
      <c r="A2150" s="20">
        <v>41011</v>
      </c>
      <c r="B2150" s="21">
        <v>3.88</v>
      </c>
      <c r="C2150" s="238">
        <f t="shared" si="45"/>
        <v>41000</v>
      </c>
    </row>
    <row r="2151" spans="1:3" ht="16.2" x14ac:dyDescent="0.35">
      <c r="A2151" s="20">
        <v>41018</v>
      </c>
      <c r="B2151" s="21">
        <v>3.9</v>
      </c>
      <c r="C2151" s="238">
        <f t="shared" si="45"/>
        <v>41000</v>
      </c>
    </row>
    <row r="2152" spans="1:3" ht="16.2" x14ac:dyDescent="0.35">
      <c r="A2152" s="20">
        <v>41025</v>
      </c>
      <c r="B2152" s="21">
        <v>3.88</v>
      </c>
      <c r="C2152" s="238">
        <f t="shared" si="45"/>
        <v>41000</v>
      </c>
    </row>
    <row r="2153" spans="1:3" ht="16.2" x14ac:dyDescent="0.35">
      <c r="A2153" s="20">
        <v>41032</v>
      </c>
      <c r="B2153" s="21">
        <v>3.84</v>
      </c>
      <c r="C2153" s="238">
        <f t="shared" si="45"/>
        <v>41030</v>
      </c>
    </row>
    <row r="2154" spans="1:3" ht="16.2" x14ac:dyDescent="0.35">
      <c r="A2154" s="20">
        <v>41039</v>
      </c>
      <c r="B2154" s="21">
        <v>3.83</v>
      </c>
      <c r="C2154" s="238">
        <f t="shared" si="45"/>
        <v>41030</v>
      </c>
    </row>
    <row r="2155" spans="1:3" ht="16.2" x14ac:dyDescent="0.35">
      <c r="A2155" s="20">
        <v>41046</v>
      </c>
      <c r="B2155" s="21">
        <v>3.79</v>
      </c>
      <c r="C2155" s="238">
        <f t="shared" si="45"/>
        <v>41030</v>
      </c>
    </row>
    <row r="2156" spans="1:3" ht="16.2" x14ac:dyDescent="0.35">
      <c r="A2156" s="20">
        <v>41053</v>
      </c>
      <c r="B2156" s="21">
        <v>3.78</v>
      </c>
      <c r="C2156" s="238">
        <f t="shared" si="45"/>
        <v>41030</v>
      </c>
    </row>
    <row r="2157" spans="1:3" ht="16.2" x14ac:dyDescent="0.35">
      <c r="A2157" s="20">
        <v>41060</v>
      </c>
      <c r="B2157" s="21">
        <v>3.75</v>
      </c>
      <c r="C2157" s="238">
        <f t="shared" si="45"/>
        <v>41030</v>
      </c>
    </row>
    <row r="2158" spans="1:3" ht="16.2" x14ac:dyDescent="0.35">
      <c r="A2158" s="20">
        <v>41067</v>
      </c>
      <c r="B2158" s="21">
        <v>3.67</v>
      </c>
      <c r="C2158" s="238">
        <f t="shared" si="45"/>
        <v>41061</v>
      </c>
    </row>
    <row r="2159" spans="1:3" ht="16.2" x14ac:dyDescent="0.35">
      <c r="A2159" s="20">
        <v>41074</v>
      </c>
      <c r="B2159" s="21">
        <v>3.71</v>
      </c>
      <c r="C2159" s="238">
        <f t="shared" si="45"/>
        <v>41061</v>
      </c>
    </row>
    <row r="2160" spans="1:3" ht="16.2" x14ac:dyDescent="0.35">
      <c r="A2160" s="20">
        <v>41081</v>
      </c>
      <c r="B2160" s="21">
        <v>3.66</v>
      </c>
      <c r="C2160" s="238">
        <f t="shared" si="45"/>
        <v>41061</v>
      </c>
    </row>
    <row r="2161" spans="1:3" ht="16.2" x14ac:dyDescent="0.35">
      <c r="A2161" s="20">
        <v>41088</v>
      </c>
      <c r="B2161" s="21">
        <v>3.66</v>
      </c>
      <c r="C2161" s="238">
        <f t="shared" si="45"/>
        <v>41061</v>
      </c>
    </row>
    <row r="2162" spans="1:3" ht="16.2" x14ac:dyDescent="0.35">
      <c r="A2162" s="20">
        <v>41095</v>
      </c>
      <c r="B2162" s="21">
        <v>3.62</v>
      </c>
      <c r="C2162" s="238">
        <f t="shared" si="45"/>
        <v>41091</v>
      </c>
    </row>
    <row r="2163" spans="1:3" ht="16.2" x14ac:dyDescent="0.35">
      <c r="A2163" s="20">
        <v>41102</v>
      </c>
      <c r="B2163" s="21">
        <v>3.56</v>
      </c>
      <c r="C2163" s="238">
        <f t="shared" si="45"/>
        <v>41091</v>
      </c>
    </row>
    <row r="2164" spans="1:3" ht="16.2" x14ac:dyDescent="0.35">
      <c r="A2164" s="20">
        <v>41109</v>
      </c>
      <c r="B2164" s="21">
        <v>3.53</v>
      </c>
      <c r="C2164" s="238">
        <f t="shared" si="45"/>
        <v>41091</v>
      </c>
    </row>
    <row r="2165" spans="1:3" ht="16.2" x14ac:dyDescent="0.35">
      <c r="A2165" s="20">
        <v>41116</v>
      </c>
      <c r="B2165" s="21">
        <v>3.49</v>
      </c>
      <c r="C2165" s="238">
        <f t="shared" si="45"/>
        <v>41091</v>
      </c>
    </row>
    <row r="2166" spans="1:3" ht="16.2" x14ac:dyDescent="0.35">
      <c r="A2166" s="20">
        <v>41123</v>
      </c>
      <c r="B2166" s="21">
        <v>3.55</v>
      </c>
      <c r="C2166" s="238">
        <f t="shared" si="45"/>
        <v>41122</v>
      </c>
    </row>
    <row r="2167" spans="1:3" ht="16.2" x14ac:dyDescent="0.35">
      <c r="A2167" s="20">
        <v>41130</v>
      </c>
      <c r="B2167" s="21">
        <v>3.59</v>
      </c>
      <c r="C2167" s="238">
        <f t="shared" si="45"/>
        <v>41122</v>
      </c>
    </row>
    <row r="2168" spans="1:3" ht="16.2" x14ac:dyDescent="0.35">
      <c r="A2168" s="20">
        <v>41137</v>
      </c>
      <c r="B2168" s="21">
        <v>3.62</v>
      </c>
      <c r="C2168" s="238">
        <f t="shared" si="45"/>
        <v>41122</v>
      </c>
    </row>
    <row r="2169" spans="1:3" ht="16.2" x14ac:dyDescent="0.35">
      <c r="A2169" s="20">
        <v>41144</v>
      </c>
      <c r="B2169" s="21">
        <v>3.66</v>
      </c>
      <c r="C2169" s="238">
        <f t="shared" si="45"/>
        <v>41122</v>
      </c>
    </row>
    <row r="2170" spans="1:3" ht="16.2" x14ac:dyDescent="0.35">
      <c r="A2170" s="20">
        <v>41151</v>
      </c>
      <c r="B2170" s="21">
        <v>3.59</v>
      </c>
      <c r="C2170" s="238">
        <f t="shared" si="45"/>
        <v>41122</v>
      </c>
    </row>
    <row r="2171" spans="1:3" ht="16.2" x14ac:dyDescent="0.35">
      <c r="A2171" s="20">
        <v>41158</v>
      </c>
      <c r="B2171" s="21">
        <v>3.55</v>
      </c>
      <c r="C2171" s="238">
        <f t="shared" si="45"/>
        <v>41153</v>
      </c>
    </row>
    <row r="2172" spans="1:3" ht="16.2" x14ac:dyDescent="0.35">
      <c r="A2172" s="20">
        <v>41165</v>
      </c>
      <c r="B2172" s="21">
        <v>3.55</v>
      </c>
      <c r="C2172" s="238">
        <f t="shared" si="45"/>
        <v>41153</v>
      </c>
    </row>
    <row r="2173" spans="1:3" ht="16.2" x14ac:dyDescent="0.35">
      <c r="A2173" s="20">
        <v>41172</v>
      </c>
      <c r="B2173" s="21">
        <v>3.49</v>
      </c>
      <c r="C2173" s="238">
        <f t="shared" si="45"/>
        <v>41153</v>
      </c>
    </row>
    <row r="2174" spans="1:3" ht="16.2" x14ac:dyDescent="0.35">
      <c r="A2174" s="20">
        <v>41179</v>
      </c>
      <c r="B2174" s="21">
        <v>3.4</v>
      </c>
      <c r="C2174" s="238">
        <f t="shared" si="45"/>
        <v>41153</v>
      </c>
    </row>
    <row r="2175" spans="1:3" ht="16.2" x14ac:dyDescent="0.35">
      <c r="A2175" s="20">
        <v>41186</v>
      </c>
      <c r="B2175" s="21">
        <v>3.36</v>
      </c>
      <c r="C2175" s="238">
        <f t="shared" si="45"/>
        <v>41183</v>
      </c>
    </row>
    <row r="2176" spans="1:3" ht="16.2" x14ac:dyDescent="0.35">
      <c r="A2176" s="20">
        <v>41193</v>
      </c>
      <c r="B2176" s="21">
        <v>3.39</v>
      </c>
      <c r="C2176" s="238">
        <f t="shared" si="45"/>
        <v>41183</v>
      </c>
    </row>
    <row r="2177" spans="1:3" ht="16.2" x14ac:dyDescent="0.35">
      <c r="A2177" s="20">
        <v>41200</v>
      </c>
      <c r="B2177" s="21">
        <v>3.37</v>
      </c>
      <c r="C2177" s="238">
        <f t="shared" si="45"/>
        <v>41183</v>
      </c>
    </row>
    <row r="2178" spans="1:3" ht="16.2" x14ac:dyDescent="0.35">
      <c r="A2178" s="20">
        <v>41207</v>
      </c>
      <c r="B2178" s="21">
        <v>3.41</v>
      </c>
      <c r="C2178" s="238">
        <f t="shared" si="45"/>
        <v>41183</v>
      </c>
    </row>
    <row r="2179" spans="1:3" ht="16.2" x14ac:dyDescent="0.35">
      <c r="A2179" s="20">
        <v>41214</v>
      </c>
      <c r="B2179" s="21">
        <v>3.39</v>
      </c>
      <c r="C2179" s="238">
        <f t="shared" si="45"/>
        <v>41214</v>
      </c>
    </row>
    <row r="2180" spans="1:3" ht="16.2" x14ac:dyDescent="0.35">
      <c r="A2180" s="20">
        <v>41221</v>
      </c>
      <c r="B2180" s="21">
        <v>3.4</v>
      </c>
      <c r="C2180" s="238">
        <f t="shared" si="45"/>
        <v>41214</v>
      </c>
    </row>
    <row r="2181" spans="1:3" ht="16.2" x14ac:dyDescent="0.35">
      <c r="A2181" s="20">
        <v>41228</v>
      </c>
      <c r="B2181" s="21">
        <v>3.34</v>
      </c>
      <c r="C2181" s="238">
        <f t="shared" si="45"/>
        <v>41214</v>
      </c>
    </row>
    <row r="2182" spans="1:3" ht="16.2" x14ac:dyDescent="0.35">
      <c r="A2182" s="20">
        <v>41234</v>
      </c>
      <c r="B2182" s="21">
        <v>3.31</v>
      </c>
      <c r="C2182" s="238">
        <f t="shared" si="45"/>
        <v>41214</v>
      </c>
    </row>
    <row r="2183" spans="1:3" ht="16.2" x14ac:dyDescent="0.35">
      <c r="A2183" s="20">
        <v>41242</v>
      </c>
      <c r="B2183" s="21">
        <v>3.32</v>
      </c>
      <c r="C2183" s="238">
        <f t="shared" si="45"/>
        <v>41214</v>
      </c>
    </row>
    <row r="2184" spans="1:3" ht="16.2" x14ac:dyDescent="0.35">
      <c r="A2184" s="20">
        <v>41249</v>
      </c>
      <c r="B2184" s="21">
        <v>3.34</v>
      </c>
      <c r="C2184" s="238">
        <f t="shared" si="45"/>
        <v>41244</v>
      </c>
    </row>
    <row r="2185" spans="1:3" ht="16.2" x14ac:dyDescent="0.35">
      <c r="A2185" s="20">
        <v>41256</v>
      </c>
      <c r="B2185" s="21">
        <v>3.32</v>
      </c>
      <c r="C2185" s="238">
        <f t="shared" si="45"/>
        <v>41244</v>
      </c>
    </row>
    <row r="2186" spans="1:3" ht="16.2" x14ac:dyDescent="0.35">
      <c r="A2186" s="20">
        <v>41263</v>
      </c>
      <c r="B2186" s="21">
        <v>3.37</v>
      </c>
      <c r="C2186" s="238">
        <f t="shared" si="45"/>
        <v>41244</v>
      </c>
    </row>
    <row r="2187" spans="1:3" ht="16.2" x14ac:dyDescent="0.35">
      <c r="A2187" s="20">
        <v>41270</v>
      </c>
      <c r="B2187" s="21">
        <v>3.35</v>
      </c>
      <c r="C2187" s="238">
        <f t="shared" si="45"/>
        <v>41244</v>
      </c>
    </row>
    <row r="2188" spans="1:3" ht="16.2" x14ac:dyDescent="0.35">
      <c r="A2188" s="20">
        <v>41277</v>
      </c>
      <c r="B2188" s="21">
        <v>3.34</v>
      </c>
      <c r="C2188" s="238">
        <f t="shared" si="45"/>
        <v>41275</v>
      </c>
    </row>
    <row r="2189" spans="1:3" ht="16.2" x14ac:dyDescent="0.35">
      <c r="A2189" s="20">
        <v>41284</v>
      </c>
      <c r="B2189" s="21">
        <v>3.4</v>
      </c>
      <c r="C2189" s="238">
        <f t="shared" si="45"/>
        <v>41275</v>
      </c>
    </row>
    <row r="2190" spans="1:3" ht="16.2" x14ac:dyDescent="0.35">
      <c r="A2190" s="20">
        <v>41291</v>
      </c>
      <c r="B2190" s="21">
        <v>3.38</v>
      </c>
      <c r="C2190" s="238">
        <f t="shared" si="45"/>
        <v>41275</v>
      </c>
    </row>
    <row r="2191" spans="1:3" ht="16.2" x14ac:dyDescent="0.35">
      <c r="A2191" s="20">
        <v>41298</v>
      </c>
      <c r="B2191" s="21">
        <v>3.42</v>
      </c>
      <c r="C2191" s="238">
        <f t="shared" si="45"/>
        <v>41275</v>
      </c>
    </row>
    <row r="2192" spans="1:3" ht="16.2" x14ac:dyDescent="0.35">
      <c r="A2192" s="20">
        <v>41305</v>
      </c>
      <c r="B2192" s="21">
        <v>3.53</v>
      </c>
      <c r="C2192" s="238">
        <f t="shared" ref="C2192:C2255" si="46">EOMONTH(A2192,-1)+1</f>
        <v>41275</v>
      </c>
    </row>
    <row r="2193" spans="1:3" ht="16.2" x14ac:dyDescent="0.35">
      <c r="A2193" s="20">
        <v>41312</v>
      </c>
      <c r="B2193" s="21">
        <v>3.53</v>
      </c>
      <c r="C2193" s="238">
        <f t="shared" si="46"/>
        <v>41306</v>
      </c>
    </row>
    <row r="2194" spans="1:3" ht="16.2" x14ac:dyDescent="0.35">
      <c r="A2194" s="20">
        <v>41319</v>
      </c>
      <c r="B2194" s="21">
        <v>3.53</v>
      </c>
      <c r="C2194" s="238">
        <f t="shared" si="46"/>
        <v>41306</v>
      </c>
    </row>
    <row r="2195" spans="1:3" ht="16.2" x14ac:dyDescent="0.35">
      <c r="A2195" s="20">
        <v>41326</v>
      </c>
      <c r="B2195" s="21">
        <v>3.56</v>
      </c>
      <c r="C2195" s="238">
        <f t="shared" si="46"/>
        <v>41306</v>
      </c>
    </row>
    <row r="2196" spans="1:3" ht="16.2" x14ac:dyDescent="0.35">
      <c r="A2196" s="20">
        <v>41333</v>
      </c>
      <c r="B2196" s="21">
        <v>3.51</v>
      </c>
      <c r="C2196" s="238">
        <f t="shared" si="46"/>
        <v>41306</v>
      </c>
    </row>
    <row r="2197" spans="1:3" ht="16.2" x14ac:dyDescent="0.35">
      <c r="A2197" s="20">
        <v>41340</v>
      </c>
      <c r="B2197" s="21">
        <v>3.52</v>
      </c>
      <c r="C2197" s="238">
        <f t="shared" si="46"/>
        <v>41334</v>
      </c>
    </row>
    <row r="2198" spans="1:3" ht="16.2" x14ac:dyDescent="0.35">
      <c r="A2198" s="20">
        <v>41347</v>
      </c>
      <c r="B2198" s="21">
        <v>3.63</v>
      </c>
      <c r="C2198" s="238">
        <f t="shared" si="46"/>
        <v>41334</v>
      </c>
    </row>
    <row r="2199" spans="1:3" ht="16.2" x14ac:dyDescent="0.35">
      <c r="A2199" s="20">
        <v>41354</v>
      </c>
      <c r="B2199" s="21">
        <v>3.54</v>
      </c>
      <c r="C2199" s="238">
        <f t="shared" si="46"/>
        <v>41334</v>
      </c>
    </row>
    <row r="2200" spans="1:3" ht="16.2" x14ac:dyDescent="0.35">
      <c r="A2200" s="20">
        <v>41361</v>
      </c>
      <c r="B2200" s="21">
        <v>3.57</v>
      </c>
      <c r="C2200" s="238">
        <f t="shared" si="46"/>
        <v>41334</v>
      </c>
    </row>
    <row r="2201" spans="1:3" ht="16.2" x14ac:dyDescent="0.35">
      <c r="A2201" s="20">
        <v>41368</v>
      </c>
      <c r="B2201" s="21">
        <v>3.54</v>
      </c>
      <c r="C2201" s="238">
        <f t="shared" si="46"/>
        <v>41365</v>
      </c>
    </row>
    <row r="2202" spans="1:3" ht="16.2" x14ac:dyDescent="0.35">
      <c r="A2202" s="20">
        <v>41375</v>
      </c>
      <c r="B2202" s="21">
        <v>3.43</v>
      </c>
      <c r="C2202" s="238">
        <f t="shared" si="46"/>
        <v>41365</v>
      </c>
    </row>
    <row r="2203" spans="1:3" ht="16.2" x14ac:dyDescent="0.35">
      <c r="A2203" s="20">
        <v>41382</v>
      </c>
      <c r="B2203" s="21">
        <v>3.41</v>
      </c>
      <c r="C2203" s="238">
        <f t="shared" si="46"/>
        <v>41365</v>
      </c>
    </row>
    <row r="2204" spans="1:3" ht="16.2" x14ac:dyDescent="0.35">
      <c r="A2204" s="20">
        <v>41389</v>
      </c>
      <c r="B2204" s="21">
        <v>3.4</v>
      </c>
      <c r="C2204" s="238">
        <f t="shared" si="46"/>
        <v>41365</v>
      </c>
    </row>
    <row r="2205" spans="1:3" ht="16.2" x14ac:dyDescent="0.35">
      <c r="A2205" s="20">
        <v>41396</v>
      </c>
      <c r="B2205" s="21">
        <v>3.35</v>
      </c>
      <c r="C2205" s="238">
        <f t="shared" si="46"/>
        <v>41395</v>
      </c>
    </row>
    <row r="2206" spans="1:3" ht="16.2" x14ac:dyDescent="0.35">
      <c r="A2206" s="20">
        <v>41403</v>
      </c>
      <c r="B2206" s="21">
        <v>3.42</v>
      </c>
      <c r="C2206" s="238">
        <f t="shared" si="46"/>
        <v>41395</v>
      </c>
    </row>
    <row r="2207" spans="1:3" ht="16.2" x14ac:dyDescent="0.35">
      <c r="A2207" s="20">
        <v>41410</v>
      </c>
      <c r="B2207" s="21">
        <v>3.51</v>
      </c>
      <c r="C2207" s="238">
        <f t="shared" si="46"/>
        <v>41395</v>
      </c>
    </row>
    <row r="2208" spans="1:3" ht="16.2" x14ac:dyDescent="0.35">
      <c r="A2208" s="20">
        <v>41417</v>
      </c>
      <c r="B2208" s="21">
        <v>3.59</v>
      </c>
      <c r="C2208" s="238">
        <f t="shared" si="46"/>
        <v>41395</v>
      </c>
    </row>
    <row r="2209" spans="1:3" ht="16.2" x14ac:dyDescent="0.35">
      <c r="A2209" s="20">
        <v>41424</v>
      </c>
      <c r="B2209" s="21">
        <v>3.81</v>
      </c>
      <c r="C2209" s="238">
        <f t="shared" si="46"/>
        <v>41395</v>
      </c>
    </row>
    <row r="2210" spans="1:3" ht="16.2" x14ac:dyDescent="0.35">
      <c r="A2210" s="20">
        <v>41431</v>
      </c>
      <c r="B2210" s="21">
        <v>3.91</v>
      </c>
      <c r="C2210" s="238">
        <f t="shared" si="46"/>
        <v>41426</v>
      </c>
    </row>
    <row r="2211" spans="1:3" ht="16.2" x14ac:dyDescent="0.35">
      <c r="A2211" s="20">
        <v>41438</v>
      </c>
      <c r="B2211" s="21">
        <v>3.98</v>
      </c>
      <c r="C2211" s="238">
        <f t="shared" si="46"/>
        <v>41426</v>
      </c>
    </row>
    <row r="2212" spans="1:3" ht="16.2" x14ac:dyDescent="0.35">
      <c r="A2212" s="20">
        <v>41445</v>
      </c>
      <c r="B2212" s="21">
        <v>3.93</v>
      </c>
      <c r="C2212" s="238">
        <f t="shared" si="46"/>
        <v>41426</v>
      </c>
    </row>
    <row r="2213" spans="1:3" ht="16.2" x14ac:dyDescent="0.35">
      <c r="A2213" s="20">
        <v>41452</v>
      </c>
      <c r="B2213" s="21">
        <v>4.46</v>
      </c>
      <c r="C2213" s="238">
        <f t="shared" si="46"/>
        <v>41426</v>
      </c>
    </row>
    <row r="2214" spans="1:3" ht="16.2" x14ac:dyDescent="0.35">
      <c r="A2214" s="20">
        <v>41458</v>
      </c>
      <c r="B2214" s="21">
        <v>4.29</v>
      </c>
      <c r="C2214" s="238">
        <f t="shared" si="46"/>
        <v>41456</v>
      </c>
    </row>
    <row r="2215" spans="1:3" ht="16.2" x14ac:dyDescent="0.35">
      <c r="A2215" s="20">
        <v>41466</v>
      </c>
      <c r="B2215" s="21">
        <v>4.51</v>
      </c>
      <c r="C2215" s="238">
        <f t="shared" si="46"/>
        <v>41456</v>
      </c>
    </row>
    <row r="2216" spans="1:3" ht="16.2" x14ac:dyDescent="0.35">
      <c r="A2216" s="20">
        <v>41473</v>
      </c>
      <c r="B2216" s="21">
        <v>4.37</v>
      </c>
      <c r="C2216" s="238">
        <f t="shared" si="46"/>
        <v>41456</v>
      </c>
    </row>
    <row r="2217" spans="1:3" ht="16.2" x14ac:dyDescent="0.35">
      <c r="A2217" s="20">
        <v>41480</v>
      </c>
      <c r="B2217" s="21">
        <v>4.3099999999999996</v>
      </c>
      <c r="C2217" s="238">
        <f t="shared" si="46"/>
        <v>41456</v>
      </c>
    </row>
    <row r="2218" spans="1:3" ht="16.2" x14ac:dyDescent="0.35">
      <c r="A2218" s="20">
        <v>41487</v>
      </c>
      <c r="B2218" s="21">
        <v>4.3899999999999997</v>
      </c>
      <c r="C2218" s="238">
        <f t="shared" si="46"/>
        <v>41487</v>
      </c>
    </row>
    <row r="2219" spans="1:3" ht="16.2" x14ac:dyDescent="0.35">
      <c r="A2219" s="20">
        <v>41494</v>
      </c>
      <c r="B2219" s="21">
        <v>4.4000000000000004</v>
      </c>
      <c r="C2219" s="238">
        <f t="shared" si="46"/>
        <v>41487</v>
      </c>
    </row>
    <row r="2220" spans="1:3" ht="16.2" x14ac:dyDescent="0.35">
      <c r="A2220" s="20">
        <v>41501</v>
      </c>
      <c r="B2220" s="21">
        <v>4.4000000000000004</v>
      </c>
      <c r="C2220" s="238">
        <f t="shared" si="46"/>
        <v>41487</v>
      </c>
    </row>
    <row r="2221" spans="1:3" ht="16.2" x14ac:dyDescent="0.35">
      <c r="A2221" s="20">
        <v>41508</v>
      </c>
      <c r="B2221" s="21">
        <v>4.58</v>
      </c>
      <c r="C2221" s="238">
        <f t="shared" si="46"/>
        <v>41487</v>
      </c>
    </row>
    <row r="2222" spans="1:3" ht="16.2" x14ac:dyDescent="0.35">
      <c r="A2222" s="20">
        <v>41515</v>
      </c>
      <c r="B2222" s="21">
        <v>4.51</v>
      </c>
      <c r="C2222" s="238">
        <f t="shared" si="46"/>
        <v>41487</v>
      </c>
    </row>
    <row r="2223" spans="1:3" ht="16.2" x14ac:dyDescent="0.35">
      <c r="A2223" s="20">
        <v>41522</v>
      </c>
      <c r="B2223" s="21">
        <v>4.57</v>
      </c>
      <c r="C2223" s="238">
        <f t="shared" si="46"/>
        <v>41518</v>
      </c>
    </row>
    <row r="2224" spans="1:3" ht="16.2" x14ac:dyDescent="0.35">
      <c r="A2224" s="20">
        <v>41529</v>
      </c>
      <c r="B2224" s="21">
        <v>4.57</v>
      </c>
      <c r="C2224" s="238">
        <f t="shared" si="46"/>
        <v>41518</v>
      </c>
    </row>
    <row r="2225" spans="1:3" ht="16.2" x14ac:dyDescent="0.35">
      <c r="A2225" s="20">
        <v>41536</v>
      </c>
      <c r="B2225" s="21">
        <v>4.5</v>
      </c>
      <c r="C2225" s="238">
        <f t="shared" si="46"/>
        <v>41518</v>
      </c>
    </row>
    <row r="2226" spans="1:3" ht="16.2" x14ac:dyDescent="0.35">
      <c r="A2226" s="20">
        <v>41543</v>
      </c>
      <c r="B2226" s="21">
        <v>4.32</v>
      </c>
      <c r="C2226" s="238">
        <f t="shared" si="46"/>
        <v>41518</v>
      </c>
    </row>
    <row r="2227" spans="1:3" ht="16.2" x14ac:dyDescent="0.35">
      <c r="A2227" s="20">
        <v>41550</v>
      </c>
      <c r="B2227" s="21">
        <v>4.22</v>
      </c>
      <c r="C2227" s="238">
        <f t="shared" si="46"/>
        <v>41548</v>
      </c>
    </row>
    <row r="2228" spans="1:3" ht="16.2" x14ac:dyDescent="0.35">
      <c r="A2228" s="20">
        <v>41557</v>
      </c>
      <c r="B2228" s="21">
        <v>4.2300000000000004</v>
      </c>
      <c r="C2228" s="238">
        <f t="shared" si="46"/>
        <v>41548</v>
      </c>
    </row>
    <row r="2229" spans="1:3" ht="16.2" x14ac:dyDescent="0.35">
      <c r="A2229" s="20">
        <v>41564</v>
      </c>
      <c r="B2229" s="21">
        <v>4.28</v>
      </c>
      <c r="C2229" s="238">
        <f t="shared" si="46"/>
        <v>41548</v>
      </c>
    </row>
    <row r="2230" spans="1:3" ht="16.2" x14ac:dyDescent="0.35">
      <c r="A2230" s="20">
        <v>41571</v>
      </c>
      <c r="B2230" s="21">
        <v>4.13</v>
      </c>
      <c r="C2230" s="238">
        <f t="shared" si="46"/>
        <v>41548</v>
      </c>
    </row>
    <row r="2231" spans="1:3" ht="16.2" x14ac:dyDescent="0.35">
      <c r="A2231" s="20">
        <v>41578</v>
      </c>
      <c r="B2231" s="21">
        <v>4.0999999999999996</v>
      </c>
      <c r="C2231" s="238">
        <f t="shared" si="46"/>
        <v>41548</v>
      </c>
    </row>
    <row r="2232" spans="1:3" ht="16.2" x14ac:dyDescent="0.35">
      <c r="A2232" s="20">
        <v>41585</v>
      </c>
      <c r="B2232" s="21">
        <v>4.16</v>
      </c>
      <c r="C2232" s="238">
        <f t="shared" si="46"/>
        <v>41579</v>
      </c>
    </row>
    <row r="2233" spans="1:3" ht="16.2" x14ac:dyDescent="0.35">
      <c r="A2233" s="20">
        <v>41592</v>
      </c>
      <c r="B2233" s="21">
        <v>4.3499999999999996</v>
      </c>
      <c r="C2233" s="238">
        <f t="shared" si="46"/>
        <v>41579</v>
      </c>
    </row>
    <row r="2234" spans="1:3" ht="16.2" x14ac:dyDescent="0.35">
      <c r="A2234" s="20">
        <v>41599</v>
      </c>
      <c r="B2234" s="21">
        <v>4.22</v>
      </c>
      <c r="C2234" s="238">
        <f t="shared" si="46"/>
        <v>41579</v>
      </c>
    </row>
    <row r="2235" spans="1:3" ht="16.2" x14ac:dyDescent="0.35">
      <c r="A2235" s="20">
        <v>41605</v>
      </c>
      <c r="B2235" s="21">
        <v>4.29</v>
      </c>
      <c r="C2235" s="238">
        <f t="shared" si="46"/>
        <v>41579</v>
      </c>
    </row>
    <row r="2236" spans="1:3" ht="16.2" x14ac:dyDescent="0.35">
      <c r="A2236" s="20">
        <v>41613</v>
      </c>
      <c r="B2236" s="21">
        <v>4.46</v>
      </c>
      <c r="C2236" s="238">
        <f t="shared" si="46"/>
        <v>41609</v>
      </c>
    </row>
    <row r="2237" spans="1:3" ht="16.2" x14ac:dyDescent="0.35">
      <c r="A2237" s="20">
        <v>41620</v>
      </c>
      <c r="B2237" s="21">
        <v>4.42</v>
      </c>
      <c r="C2237" s="238">
        <f t="shared" si="46"/>
        <v>41609</v>
      </c>
    </row>
    <row r="2238" spans="1:3" ht="16.2" x14ac:dyDescent="0.35">
      <c r="A2238" s="20">
        <v>41627</v>
      </c>
      <c r="B2238" s="21">
        <v>4.47</v>
      </c>
      <c r="C2238" s="238">
        <f t="shared" si="46"/>
        <v>41609</v>
      </c>
    </row>
    <row r="2239" spans="1:3" ht="16.2" x14ac:dyDescent="0.35">
      <c r="A2239" s="20">
        <v>41634</v>
      </c>
      <c r="B2239" s="21">
        <v>4.4800000000000004</v>
      </c>
      <c r="C2239" s="238">
        <f t="shared" si="46"/>
        <v>41609</v>
      </c>
    </row>
    <row r="2240" spans="1:3" ht="16.2" x14ac:dyDescent="0.35">
      <c r="A2240" s="20">
        <v>41641</v>
      </c>
      <c r="B2240" s="21">
        <v>4.53</v>
      </c>
      <c r="C2240" s="238">
        <f t="shared" si="46"/>
        <v>41640</v>
      </c>
    </row>
    <row r="2241" spans="1:3" ht="16.2" x14ac:dyDescent="0.35">
      <c r="A2241" s="20">
        <v>41648</v>
      </c>
      <c r="B2241" s="21">
        <v>4.51</v>
      </c>
      <c r="C2241" s="238">
        <f t="shared" si="46"/>
        <v>41640</v>
      </c>
    </row>
    <row r="2242" spans="1:3" ht="16.2" x14ac:dyDescent="0.35">
      <c r="A2242" s="20">
        <v>41655</v>
      </c>
      <c r="B2242" s="21">
        <v>4.41</v>
      </c>
      <c r="C2242" s="238">
        <f t="shared" si="46"/>
        <v>41640</v>
      </c>
    </row>
    <row r="2243" spans="1:3" ht="16.2" x14ac:dyDescent="0.35">
      <c r="A2243" s="20">
        <v>41662</v>
      </c>
      <c r="B2243" s="21">
        <v>4.3899999999999997</v>
      </c>
      <c r="C2243" s="238">
        <f t="shared" si="46"/>
        <v>41640</v>
      </c>
    </row>
    <row r="2244" spans="1:3" ht="16.2" x14ac:dyDescent="0.35">
      <c r="A2244" s="20">
        <v>41669</v>
      </c>
      <c r="B2244" s="21">
        <v>4.32</v>
      </c>
      <c r="C2244" s="238">
        <f t="shared" si="46"/>
        <v>41640</v>
      </c>
    </row>
    <row r="2245" spans="1:3" ht="16.2" x14ac:dyDescent="0.35">
      <c r="A2245" s="20">
        <v>41676</v>
      </c>
      <c r="B2245" s="21">
        <v>4.2300000000000004</v>
      </c>
      <c r="C2245" s="238">
        <f t="shared" si="46"/>
        <v>41671</v>
      </c>
    </row>
    <row r="2246" spans="1:3" ht="16.2" x14ac:dyDescent="0.35">
      <c r="A2246" s="20">
        <v>41683</v>
      </c>
      <c r="B2246" s="21">
        <v>4.28</v>
      </c>
      <c r="C2246" s="238">
        <f t="shared" si="46"/>
        <v>41671</v>
      </c>
    </row>
    <row r="2247" spans="1:3" ht="16.2" x14ac:dyDescent="0.35">
      <c r="A2247" s="20">
        <v>41690</v>
      </c>
      <c r="B2247" s="21">
        <v>4.33</v>
      </c>
      <c r="C2247" s="238">
        <f t="shared" si="46"/>
        <v>41671</v>
      </c>
    </row>
    <row r="2248" spans="1:3" ht="16.2" x14ac:dyDescent="0.35">
      <c r="A2248" s="20">
        <v>41697</v>
      </c>
      <c r="B2248" s="21">
        <v>4.37</v>
      </c>
      <c r="C2248" s="238">
        <f t="shared" si="46"/>
        <v>41671</v>
      </c>
    </row>
    <row r="2249" spans="1:3" ht="16.2" x14ac:dyDescent="0.35">
      <c r="A2249" s="20">
        <v>41704</v>
      </c>
      <c r="B2249" s="21">
        <v>4.28</v>
      </c>
      <c r="C2249" s="238">
        <f t="shared" si="46"/>
        <v>41699</v>
      </c>
    </row>
    <row r="2250" spans="1:3" ht="16.2" x14ac:dyDescent="0.35">
      <c r="A2250" s="20">
        <v>41711</v>
      </c>
      <c r="B2250" s="21">
        <v>4.37</v>
      </c>
      <c r="C2250" s="238">
        <f t="shared" si="46"/>
        <v>41699</v>
      </c>
    </row>
    <row r="2251" spans="1:3" ht="16.2" x14ac:dyDescent="0.35">
      <c r="A2251" s="20">
        <v>41718</v>
      </c>
      <c r="B2251" s="21">
        <v>4.32</v>
      </c>
      <c r="C2251" s="238">
        <f t="shared" si="46"/>
        <v>41699</v>
      </c>
    </row>
    <row r="2252" spans="1:3" ht="16.2" x14ac:dyDescent="0.35">
      <c r="A2252" s="20">
        <v>41725</v>
      </c>
      <c r="B2252" s="21">
        <v>4.4000000000000004</v>
      </c>
      <c r="C2252" s="238">
        <f t="shared" si="46"/>
        <v>41699</v>
      </c>
    </row>
    <row r="2253" spans="1:3" ht="16.2" x14ac:dyDescent="0.35">
      <c r="A2253" s="20">
        <v>41732</v>
      </c>
      <c r="B2253" s="21">
        <v>4.41</v>
      </c>
      <c r="C2253" s="238">
        <f t="shared" si="46"/>
        <v>41730</v>
      </c>
    </row>
    <row r="2254" spans="1:3" ht="16.2" x14ac:dyDescent="0.35">
      <c r="A2254" s="20">
        <v>41739</v>
      </c>
      <c r="B2254" s="21">
        <v>4.34</v>
      </c>
      <c r="C2254" s="238">
        <f t="shared" si="46"/>
        <v>41730</v>
      </c>
    </row>
    <row r="2255" spans="1:3" ht="16.2" x14ac:dyDescent="0.35">
      <c r="A2255" s="20">
        <v>41746</v>
      </c>
      <c r="B2255" s="21">
        <v>4.2699999999999996</v>
      </c>
      <c r="C2255" s="238">
        <f t="shared" si="46"/>
        <v>41730</v>
      </c>
    </row>
    <row r="2256" spans="1:3" ht="16.2" x14ac:dyDescent="0.35">
      <c r="A2256" s="20">
        <v>41753</v>
      </c>
      <c r="B2256" s="21">
        <v>4.33</v>
      </c>
      <c r="C2256" s="238">
        <f t="shared" ref="C2256:C2319" si="47">EOMONTH(A2256,-1)+1</f>
        <v>41730</v>
      </c>
    </row>
    <row r="2257" spans="1:3" ht="16.2" x14ac:dyDescent="0.35">
      <c r="A2257" s="20">
        <v>41760</v>
      </c>
      <c r="B2257" s="21">
        <v>4.29</v>
      </c>
      <c r="C2257" s="238">
        <f t="shared" si="47"/>
        <v>41760</v>
      </c>
    </row>
    <row r="2258" spans="1:3" ht="16.2" x14ac:dyDescent="0.35">
      <c r="A2258" s="20">
        <v>41767</v>
      </c>
      <c r="B2258" s="21">
        <v>4.21</v>
      </c>
      <c r="C2258" s="238">
        <f t="shared" si="47"/>
        <v>41760</v>
      </c>
    </row>
    <row r="2259" spans="1:3" ht="16.2" x14ac:dyDescent="0.35">
      <c r="A2259" s="20">
        <v>41774</v>
      </c>
      <c r="B2259" s="21">
        <v>4.2</v>
      </c>
      <c r="C2259" s="238">
        <f t="shared" si="47"/>
        <v>41760</v>
      </c>
    </row>
    <row r="2260" spans="1:3" ht="16.2" x14ac:dyDescent="0.35">
      <c r="A2260" s="20">
        <v>41781</v>
      </c>
      <c r="B2260" s="21">
        <v>4.1399999999999997</v>
      </c>
      <c r="C2260" s="238">
        <f t="shared" si="47"/>
        <v>41760</v>
      </c>
    </row>
    <row r="2261" spans="1:3" ht="16.2" x14ac:dyDescent="0.35">
      <c r="A2261" s="20">
        <v>41788</v>
      </c>
      <c r="B2261" s="21">
        <v>4.12</v>
      </c>
      <c r="C2261" s="238">
        <f t="shared" si="47"/>
        <v>41760</v>
      </c>
    </row>
    <row r="2262" spans="1:3" ht="16.2" x14ac:dyDescent="0.35">
      <c r="A2262" s="20">
        <v>41795</v>
      </c>
      <c r="B2262" s="21">
        <v>4.1399999999999997</v>
      </c>
      <c r="C2262" s="238">
        <f t="shared" si="47"/>
        <v>41791</v>
      </c>
    </row>
    <row r="2263" spans="1:3" ht="16.2" x14ac:dyDescent="0.35">
      <c r="A2263" s="20">
        <v>41802</v>
      </c>
      <c r="B2263" s="21">
        <v>4.2</v>
      </c>
      <c r="C2263" s="238">
        <f t="shared" si="47"/>
        <v>41791</v>
      </c>
    </row>
    <row r="2264" spans="1:3" ht="16.2" x14ac:dyDescent="0.35">
      <c r="A2264" s="20">
        <v>41809</v>
      </c>
      <c r="B2264" s="21">
        <v>4.17</v>
      </c>
      <c r="C2264" s="238">
        <f t="shared" si="47"/>
        <v>41791</v>
      </c>
    </row>
    <row r="2265" spans="1:3" ht="16.2" x14ac:dyDescent="0.35">
      <c r="A2265" s="20">
        <v>41816</v>
      </c>
      <c r="B2265" s="21">
        <v>4.1399999999999997</v>
      </c>
      <c r="C2265" s="238">
        <f t="shared" si="47"/>
        <v>41791</v>
      </c>
    </row>
    <row r="2266" spans="1:3" ht="16.2" x14ac:dyDescent="0.35">
      <c r="A2266" s="20">
        <v>41823</v>
      </c>
      <c r="B2266" s="21">
        <v>4.12</v>
      </c>
      <c r="C2266" s="238">
        <f t="shared" si="47"/>
        <v>41821</v>
      </c>
    </row>
    <row r="2267" spans="1:3" ht="16.2" x14ac:dyDescent="0.35">
      <c r="A2267" s="20">
        <v>41830</v>
      </c>
      <c r="B2267" s="21">
        <v>4.1500000000000004</v>
      </c>
      <c r="C2267" s="238">
        <f t="shared" si="47"/>
        <v>41821</v>
      </c>
    </row>
    <row r="2268" spans="1:3" ht="16.2" x14ac:dyDescent="0.35">
      <c r="A2268" s="20">
        <v>41837</v>
      </c>
      <c r="B2268" s="21">
        <v>4.13</v>
      </c>
      <c r="C2268" s="238">
        <f t="shared" si="47"/>
        <v>41821</v>
      </c>
    </row>
    <row r="2269" spans="1:3" ht="16.2" x14ac:dyDescent="0.35">
      <c r="A2269" s="20">
        <v>41844</v>
      </c>
      <c r="B2269" s="21">
        <v>4.13</v>
      </c>
      <c r="C2269" s="238">
        <f t="shared" si="47"/>
        <v>41821</v>
      </c>
    </row>
    <row r="2270" spans="1:3" ht="16.2" x14ac:dyDescent="0.35">
      <c r="A2270" s="20">
        <v>41851</v>
      </c>
      <c r="B2270" s="21">
        <v>4.12</v>
      </c>
      <c r="C2270" s="238">
        <f t="shared" si="47"/>
        <v>41821</v>
      </c>
    </row>
    <row r="2271" spans="1:3" ht="16.2" x14ac:dyDescent="0.35">
      <c r="A2271" s="20">
        <v>41858</v>
      </c>
      <c r="B2271" s="21">
        <v>4.1399999999999997</v>
      </c>
      <c r="C2271" s="238">
        <f t="shared" si="47"/>
        <v>41852</v>
      </c>
    </row>
    <row r="2272" spans="1:3" ht="16.2" x14ac:dyDescent="0.35">
      <c r="A2272" s="20">
        <v>41865</v>
      </c>
      <c r="B2272" s="21">
        <v>4.12</v>
      </c>
      <c r="C2272" s="238">
        <f t="shared" si="47"/>
        <v>41852</v>
      </c>
    </row>
    <row r="2273" spans="1:3" ht="16.2" x14ac:dyDescent="0.35">
      <c r="A2273" s="20">
        <v>41872</v>
      </c>
      <c r="B2273" s="21">
        <v>4.0999999999999996</v>
      </c>
      <c r="C2273" s="238">
        <f t="shared" si="47"/>
        <v>41852</v>
      </c>
    </row>
    <row r="2274" spans="1:3" ht="16.2" x14ac:dyDescent="0.35">
      <c r="A2274" s="20">
        <v>41879</v>
      </c>
      <c r="B2274" s="21">
        <v>4.0999999999999996</v>
      </c>
      <c r="C2274" s="238">
        <f t="shared" si="47"/>
        <v>41852</v>
      </c>
    </row>
    <row r="2275" spans="1:3" ht="16.2" x14ac:dyDescent="0.35">
      <c r="A2275" s="20">
        <v>41886</v>
      </c>
      <c r="B2275" s="21">
        <v>4.0999999999999996</v>
      </c>
      <c r="C2275" s="238">
        <f t="shared" si="47"/>
        <v>41883</v>
      </c>
    </row>
    <row r="2276" spans="1:3" ht="16.2" x14ac:dyDescent="0.35">
      <c r="A2276" s="20">
        <v>41893</v>
      </c>
      <c r="B2276" s="21">
        <v>4.12</v>
      </c>
      <c r="C2276" s="238">
        <f t="shared" si="47"/>
        <v>41883</v>
      </c>
    </row>
    <row r="2277" spans="1:3" ht="16.2" x14ac:dyDescent="0.35">
      <c r="A2277" s="20">
        <v>41900</v>
      </c>
      <c r="B2277" s="21">
        <v>4.2300000000000004</v>
      </c>
      <c r="C2277" s="238">
        <f t="shared" si="47"/>
        <v>41883</v>
      </c>
    </row>
    <row r="2278" spans="1:3" ht="16.2" x14ac:dyDescent="0.35">
      <c r="A2278" s="20">
        <v>41907</v>
      </c>
      <c r="B2278" s="21">
        <v>4.2</v>
      </c>
      <c r="C2278" s="238">
        <f t="shared" si="47"/>
        <v>41883</v>
      </c>
    </row>
    <row r="2279" spans="1:3" ht="16.2" x14ac:dyDescent="0.35">
      <c r="A2279" s="20">
        <v>41914</v>
      </c>
      <c r="B2279" s="21">
        <v>4.1900000000000004</v>
      </c>
      <c r="C2279" s="238">
        <f t="shared" si="47"/>
        <v>41913</v>
      </c>
    </row>
    <row r="2280" spans="1:3" ht="16.2" x14ac:dyDescent="0.35">
      <c r="A2280" s="20">
        <v>41921</v>
      </c>
      <c r="B2280" s="21">
        <v>4.12</v>
      </c>
      <c r="C2280" s="238">
        <f t="shared" si="47"/>
        <v>41913</v>
      </c>
    </row>
    <row r="2281" spans="1:3" ht="16.2" x14ac:dyDescent="0.35">
      <c r="A2281" s="20">
        <v>41928</v>
      </c>
      <c r="B2281" s="21">
        <v>3.97</v>
      </c>
      <c r="C2281" s="238">
        <f t="shared" si="47"/>
        <v>41913</v>
      </c>
    </row>
    <row r="2282" spans="1:3" ht="16.2" x14ac:dyDescent="0.35">
      <c r="A2282" s="20">
        <v>41935</v>
      </c>
      <c r="B2282" s="21">
        <v>3.92</v>
      </c>
      <c r="C2282" s="238">
        <f t="shared" si="47"/>
        <v>41913</v>
      </c>
    </row>
    <row r="2283" spans="1:3" ht="16.2" x14ac:dyDescent="0.35">
      <c r="A2283" s="20">
        <v>41942</v>
      </c>
      <c r="B2283" s="21">
        <v>3.98</v>
      </c>
      <c r="C2283" s="238">
        <f t="shared" si="47"/>
        <v>41913</v>
      </c>
    </row>
    <row r="2284" spans="1:3" ht="16.2" x14ac:dyDescent="0.35">
      <c r="A2284" s="20">
        <v>41949</v>
      </c>
      <c r="B2284" s="21">
        <v>4.0199999999999996</v>
      </c>
      <c r="C2284" s="238">
        <f t="shared" si="47"/>
        <v>41944</v>
      </c>
    </row>
    <row r="2285" spans="1:3" ht="16.2" x14ac:dyDescent="0.35">
      <c r="A2285" s="20">
        <v>41956</v>
      </c>
      <c r="B2285" s="21">
        <v>4.01</v>
      </c>
      <c r="C2285" s="238">
        <f t="shared" si="47"/>
        <v>41944</v>
      </c>
    </row>
    <row r="2286" spans="1:3" ht="16.2" x14ac:dyDescent="0.35">
      <c r="A2286" s="20">
        <v>41963</v>
      </c>
      <c r="B2286" s="21">
        <v>3.99</v>
      </c>
      <c r="C2286" s="238">
        <f t="shared" si="47"/>
        <v>41944</v>
      </c>
    </row>
    <row r="2287" spans="1:3" ht="16.2" x14ac:dyDescent="0.35">
      <c r="A2287" s="20">
        <v>41969</v>
      </c>
      <c r="B2287" s="21">
        <v>3.97</v>
      </c>
      <c r="C2287" s="238">
        <f t="shared" si="47"/>
        <v>41944</v>
      </c>
    </row>
    <row r="2288" spans="1:3" ht="16.2" x14ac:dyDescent="0.35">
      <c r="A2288" s="20">
        <v>41977</v>
      </c>
      <c r="B2288" s="21">
        <v>3.89</v>
      </c>
      <c r="C2288" s="238">
        <f t="shared" si="47"/>
        <v>41974</v>
      </c>
    </row>
    <row r="2289" spans="1:3" ht="16.2" x14ac:dyDescent="0.35">
      <c r="A2289" s="20">
        <v>41984</v>
      </c>
      <c r="B2289" s="21">
        <v>3.93</v>
      </c>
      <c r="C2289" s="238">
        <f t="shared" si="47"/>
        <v>41974</v>
      </c>
    </row>
    <row r="2290" spans="1:3" ht="16.2" x14ac:dyDescent="0.35">
      <c r="A2290" s="20">
        <v>41991</v>
      </c>
      <c r="B2290" s="21">
        <v>3.8</v>
      </c>
      <c r="C2290" s="238">
        <f t="shared" si="47"/>
        <v>41974</v>
      </c>
    </row>
    <row r="2291" spans="1:3" ht="16.2" x14ac:dyDescent="0.35">
      <c r="A2291" s="20">
        <v>41997</v>
      </c>
      <c r="B2291" s="21">
        <v>3.83</v>
      </c>
      <c r="C2291" s="238">
        <f t="shared" si="47"/>
        <v>41974</v>
      </c>
    </row>
    <row r="2292" spans="1:3" ht="16.2" x14ac:dyDescent="0.35">
      <c r="A2292" s="20">
        <v>42004</v>
      </c>
      <c r="B2292" s="21">
        <v>3.87</v>
      </c>
      <c r="C2292" s="238">
        <f t="shared" si="47"/>
        <v>41974</v>
      </c>
    </row>
    <row r="2293" spans="1:3" ht="16.2" x14ac:dyDescent="0.35">
      <c r="A2293" s="20">
        <v>42012</v>
      </c>
      <c r="B2293" s="21">
        <v>3.73</v>
      </c>
      <c r="C2293" s="238">
        <f t="shared" si="47"/>
        <v>42005</v>
      </c>
    </row>
    <row r="2294" spans="1:3" ht="16.2" x14ac:dyDescent="0.35">
      <c r="A2294" s="20">
        <v>42019</v>
      </c>
      <c r="B2294" s="21">
        <v>3.66</v>
      </c>
      <c r="C2294" s="238">
        <f t="shared" si="47"/>
        <v>42005</v>
      </c>
    </row>
    <row r="2295" spans="1:3" ht="16.2" x14ac:dyDescent="0.35">
      <c r="A2295" s="20">
        <v>42026</v>
      </c>
      <c r="B2295" s="21">
        <v>3.63</v>
      </c>
      <c r="C2295" s="238">
        <f t="shared" si="47"/>
        <v>42005</v>
      </c>
    </row>
    <row r="2296" spans="1:3" ht="16.2" x14ac:dyDescent="0.35">
      <c r="A2296" s="20">
        <v>42033</v>
      </c>
      <c r="B2296" s="21">
        <v>3.66</v>
      </c>
      <c r="C2296" s="238">
        <f t="shared" si="47"/>
        <v>42005</v>
      </c>
    </row>
    <row r="2297" spans="1:3" ht="16.2" x14ac:dyDescent="0.35">
      <c r="A2297" s="20">
        <v>42040</v>
      </c>
      <c r="B2297" s="21">
        <v>3.59</v>
      </c>
      <c r="C2297" s="238">
        <f t="shared" si="47"/>
        <v>42036</v>
      </c>
    </row>
    <row r="2298" spans="1:3" ht="16.2" x14ac:dyDescent="0.35">
      <c r="A2298" s="20">
        <v>42047</v>
      </c>
      <c r="B2298" s="21">
        <v>3.69</v>
      </c>
      <c r="C2298" s="238">
        <f t="shared" si="47"/>
        <v>42036</v>
      </c>
    </row>
    <row r="2299" spans="1:3" ht="16.2" x14ac:dyDescent="0.35">
      <c r="A2299" s="20">
        <v>42054</v>
      </c>
      <c r="B2299" s="21">
        <v>3.76</v>
      </c>
      <c r="C2299" s="238">
        <f t="shared" si="47"/>
        <v>42036</v>
      </c>
    </row>
    <row r="2300" spans="1:3" ht="16.2" x14ac:dyDescent="0.35">
      <c r="A2300" s="20">
        <v>42061</v>
      </c>
      <c r="B2300" s="21">
        <v>3.8</v>
      </c>
      <c r="C2300" s="238">
        <f t="shared" si="47"/>
        <v>42036</v>
      </c>
    </row>
    <row r="2301" spans="1:3" ht="16.2" x14ac:dyDescent="0.35">
      <c r="A2301" s="20">
        <v>42068</v>
      </c>
      <c r="B2301" s="21">
        <v>3.75</v>
      </c>
      <c r="C2301" s="238">
        <f t="shared" si="47"/>
        <v>42064</v>
      </c>
    </row>
    <row r="2302" spans="1:3" ht="16.2" x14ac:dyDescent="0.35">
      <c r="A2302" s="20">
        <v>42075</v>
      </c>
      <c r="B2302" s="21">
        <v>3.86</v>
      </c>
      <c r="C2302" s="238">
        <f t="shared" si="47"/>
        <v>42064</v>
      </c>
    </row>
    <row r="2303" spans="1:3" ht="16.2" x14ac:dyDescent="0.35">
      <c r="A2303" s="20">
        <v>42082</v>
      </c>
      <c r="B2303" s="21">
        <v>3.78</v>
      </c>
      <c r="C2303" s="238">
        <f t="shared" si="47"/>
        <v>42064</v>
      </c>
    </row>
    <row r="2304" spans="1:3" ht="16.2" x14ac:dyDescent="0.35">
      <c r="A2304" s="20">
        <v>42089</v>
      </c>
      <c r="B2304" s="21">
        <v>3.69</v>
      </c>
      <c r="C2304" s="238">
        <f t="shared" si="47"/>
        <v>42064</v>
      </c>
    </row>
    <row r="2305" spans="1:3" ht="16.2" x14ac:dyDescent="0.35">
      <c r="A2305" s="20">
        <v>42096</v>
      </c>
      <c r="B2305" s="21">
        <v>3.7</v>
      </c>
      <c r="C2305" s="238">
        <f t="shared" si="47"/>
        <v>42095</v>
      </c>
    </row>
    <row r="2306" spans="1:3" ht="16.2" x14ac:dyDescent="0.35">
      <c r="A2306" s="20">
        <v>42103</v>
      </c>
      <c r="B2306" s="21">
        <v>3.66</v>
      </c>
      <c r="C2306" s="238">
        <f t="shared" si="47"/>
        <v>42095</v>
      </c>
    </row>
    <row r="2307" spans="1:3" ht="16.2" x14ac:dyDescent="0.35">
      <c r="A2307" s="20">
        <v>42110</v>
      </c>
      <c r="B2307" s="21">
        <v>3.67</v>
      </c>
      <c r="C2307" s="238">
        <f t="shared" si="47"/>
        <v>42095</v>
      </c>
    </row>
    <row r="2308" spans="1:3" ht="16.2" x14ac:dyDescent="0.35">
      <c r="A2308" s="20">
        <v>42117</v>
      </c>
      <c r="B2308" s="21">
        <v>3.65</v>
      </c>
      <c r="C2308" s="238">
        <f t="shared" si="47"/>
        <v>42095</v>
      </c>
    </row>
    <row r="2309" spans="1:3" ht="16.2" x14ac:dyDescent="0.35">
      <c r="A2309" s="20">
        <v>42124</v>
      </c>
      <c r="B2309" s="21">
        <v>3.68</v>
      </c>
      <c r="C2309" s="238">
        <f t="shared" si="47"/>
        <v>42095</v>
      </c>
    </row>
    <row r="2310" spans="1:3" ht="16.2" x14ac:dyDescent="0.35">
      <c r="A2310" s="20">
        <v>42131</v>
      </c>
      <c r="B2310" s="21">
        <v>3.8</v>
      </c>
      <c r="C2310" s="238">
        <f t="shared" si="47"/>
        <v>42125</v>
      </c>
    </row>
    <row r="2311" spans="1:3" ht="16.2" x14ac:dyDescent="0.35">
      <c r="A2311" s="20">
        <v>42138</v>
      </c>
      <c r="B2311" s="21">
        <v>3.85</v>
      </c>
      <c r="C2311" s="238">
        <f t="shared" si="47"/>
        <v>42125</v>
      </c>
    </row>
    <row r="2312" spans="1:3" ht="16.2" x14ac:dyDescent="0.35">
      <c r="A2312" s="20">
        <v>42145</v>
      </c>
      <c r="B2312" s="21">
        <v>3.84</v>
      </c>
      <c r="C2312" s="238">
        <f t="shared" si="47"/>
        <v>42125</v>
      </c>
    </row>
    <row r="2313" spans="1:3" ht="16.2" x14ac:dyDescent="0.35">
      <c r="A2313" s="20">
        <v>42152</v>
      </c>
      <c r="B2313" s="21">
        <v>3.87</v>
      </c>
      <c r="C2313" s="238">
        <f t="shared" si="47"/>
        <v>42125</v>
      </c>
    </row>
    <row r="2314" spans="1:3" ht="16.2" x14ac:dyDescent="0.35">
      <c r="A2314" s="20">
        <v>42159</v>
      </c>
      <c r="B2314" s="21">
        <v>3.87</v>
      </c>
      <c r="C2314" s="238">
        <f t="shared" si="47"/>
        <v>42156</v>
      </c>
    </row>
    <row r="2315" spans="1:3" ht="16.2" x14ac:dyDescent="0.35">
      <c r="A2315" s="20">
        <v>42166</v>
      </c>
      <c r="B2315" s="21">
        <v>4.04</v>
      </c>
      <c r="C2315" s="238">
        <f t="shared" si="47"/>
        <v>42156</v>
      </c>
    </row>
    <row r="2316" spans="1:3" ht="16.2" x14ac:dyDescent="0.35">
      <c r="A2316" s="20">
        <v>42173</v>
      </c>
      <c r="B2316" s="21">
        <v>4</v>
      </c>
      <c r="C2316" s="238">
        <f t="shared" si="47"/>
        <v>42156</v>
      </c>
    </row>
    <row r="2317" spans="1:3" ht="16.2" x14ac:dyDescent="0.35">
      <c r="A2317" s="20">
        <v>42180</v>
      </c>
      <c r="B2317" s="21">
        <v>4.0199999999999996</v>
      </c>
      <c r="C2317" s="238">
        <f t="shared" si="47"/>
        <v>42156</v>
      </c>
    </row>
    <row r="2318" spans="1:3" ht="16.2" x14ac:dyDescent="0.35">
      <c r="A2318" s="20">
        <v>42187</v>
      </c>
      <c r="B2318" s="21">
        <v>4.08</v>
      </c>
      <c r="C2318" s="238">
        <f t="shared" si="47"/>
        <v>42186</v>
      </c>
    </row>
    <row r="2319" spans="1:3" ht="16.2" x14ac:dyDescent="0.35">
      <c r="A2319" s="20">
        <v>42194</v>
      </c>
      <c r="B2319" s="21">
        <v>4.04</v>
      </c>
      <c r="C2319" s="238">
        <f t="shared" si="47"/>
        <v>42186</v>
      </c>
    </row>
    <row r="2320" spans="1:3" ht="16.2" x14ac:dyDescent="0.35">
      <c r="A2320" s="20">
        <v>42201</v>
      </c>
      <c r="B2320" s="21">
        <v>4.09</v>
      </c>
      <c r="C2320" s="238">
        <f t="shared" ref="C2320:C2383" si="48">EOMONTH(A2320,-1)+1</f>
        <v>42186</v>
      </c>
    </row>
    <row r="2321" spans="1:3" ht="16.2" x14ac:dyDescent="0.35">
      <c r="A2321" s="20">
        <v>42208</v>
      </c>
      <c r="B2321" s="21">
        <v>4.04</v>
      </c>
      <c r="C2321" s="238">
        <f t="shared" si="48"/>
        <v>42186</v>
      </c>
    </row>
    <row r="2322" spans="1:3" ht="16.2" x14ac:dyDescent="0.35">
      <c r="A2322" s="20">
        <v>42215</v>
      </c>
      <c r="B2322" s="21">
        <v>3.98</v>
      </c>
      <c r="C2322" s="238">
        <f t="shared" si="48"/>
        <v>42186</v>
      </c>
    </row>
    <row r="2323" spans="1:3" ht="16.2" x14ac:dyDescent="0.35">
      <c r="A2323" s="20">
        <v>42222</v>
      </c>
      <c r="B2323" s="21">
        <v>3.91</v>
      </c>
      <c r="C2323" s="238">
        <f t="shared" si="48"/>
        <v>42217</v>
      </c>
    </row>
    <row r="2324" spans="1:3" ht="16.2" x14ac:dyDescent="0.35">
      <c r="A2324" s="20">
        <v>42229</v>
      </c>
      <c r="B2324" s="21">
        <v>3.94</v>
      </c>
      <c r="C2324" s="238">
        <f t="shared" si="48"/>
        <v>42217</v>
      </c>
    </row>
    <row r="2325" spans="1:3" ht="16.2" x14ac:dyDescent="0.35">
      <c r="A2325" s="20">
        <v>42236</v>
      </c>
      <c r="B2325" s="21">
        <v>3.93</v>
      </c>
      <c r="C2325" s="238">
        <f t="shared" si="48"/>
        <v>42217</v>
      </c>
    </row>
    <row r="2326" spans="1:3" ht="16.2" x14ac:dyDescent="0.35">
      <c r="A2326" s="20">
        <v>42243</v>
      </c>
      <c r="B2326" s="21">
        <v>3.84</v>
      </c>
      <c r="C2326" s="238">
        <f t="shared" si="48"/>
        <v>42217</v>
      </c>
    </row>
    <row r="2327" spans="1:3" ht="16.2" x14ac:dyDescent="0.35">
      <c r="A2327" s="20">
        <v>42250</v>
      </c>
      <c r="B2327" s="21">
        <v>3.89</v>
      </c>
      <c r="C2327" s="238">
        <f t="shared" si="48"/>
        <v>42248</v>
      </c>
    </row>
    <row r="2328" spans="1:3" ht="16.2" x14ac:dyDescent="0.35">
      <c r="A2328" s="20">
        <v>42257</v>
      </c>
      <c r="B2328" s="21">
        <v>3.9</v>
      </c>
      <c r="C2328" s="238">
        <f t="shared" si="48"/>
        <v>42248</v>
      </c>
    </row>
    <row r="2329" spans="1:3" ht="16.2" x14ac:dyDescent="0.35">
      <c r="A2329" s="20">
        <v>42264</v>
      </c>
      <c r="B2329" s="21">
        <v>3.91</v>
      </c>
      <c r="C2329" s="238">
        <f t="shared" si="48"/>
        <v>42248</v>
      </c>
    </row>
    <row r="2330" spans="1:3" ht="16.2" x14ac:dyDescent="0.35">
      <c r="A2330" s="20">
        <v>42271</v>
      </c>
      <c r="B2330" s="21">
        <v>3.86</v>
      </c>
      <c r="C2330" s="238">
        <f t="shared" si="48"/>
        <v>42248</v>
      </c>
    </row>
    <row r="2331" spans="1:3" ht="16.2" x14ac:dyDescent="0.35">
      <c r="A2331" s="20">
        <v>42278</v>
      </c>
      <c r="B2331" s="21">
        <v>3.85</v>
      </c>
      <c r="C2331" s="238">
        <f t="shared" si="48"/>
        <v>42278</v>
      </c>
    </row>
    <row r="2332" spans="1:3" ht="16.2" x14ac:dyDescent="0.35">
      <c r="A2332" s="20">
        <v>42285</v>
      </c>
      <c r="B2332" s="21">
        <v>3.76</v>
      </c>
      <c r="C2332" s="238">
        <f t="shared" si="48"/>
        <v>42278</v>
      </c>
    </row>
    <row r="2333" spans="1:3" ht="16.2" x14ac:dyDescent="0.35">
      <c r="A2333" s="20">
        <v>42292</v>
      </c>
      <c r="B2333" s="21">
        <v>3.82</v>
      </c>
      <c r="C2333" s="238">
        <f t="shared" si="48"/>
        <v>42278</v>
      </c>
    </row>
    <row r="2334" spans="1:3" ht="16.2" x14ac:dyDescent="0.35">
      <c r="A2334" s="20">
        <v>42299</v>
      </c>
      <c r="B2334" s="21">
        <v>3.79</v>
      </c>
      <c r="C2334" s="238">
        <f t="shared" si="48"/>
        <v>42278</v>
      </c>
    </row>
    <row r="2335" spans="1:3" ht="16.2" x14ac:dyDescent="0.35">
      <c r="A2335" s="20">
        <v>42306</v>
      </c>
      <c r="B2335" s="21">
        <v>3.76</v>
      </c>
      <c r="C2335" s="238">
        <f t="shared" si="48"/>
        <v>42278</v>
      </c>
    </row>
    <row r="2336" spans="1:3" ht="16.2" x14ac:dyDescent="0.35">
      <c r="A2336" s="20">
        <v>42313</v>
      </c>
      <c r="B2336" s="21">
        <v>3.87</v>
      </c>
      <c r="C2336" s="238">
        <f t="shared" si="48"/>
        <v>42309</v>
      </c>
    </row>
    <row r="2337" spans="1:3" ht="16.2" x14ac:dyDescent="0.35">
      <c r="A2337" s="20">
        <v>42320</v>
      </c>
      <c r="B2337" s="21">
        <v>3.98</v>
      </c>
      <c r="C2337" s="238">
        <f t="shared" si="48"/>
        <v>42309</v>
      </c>
    </row>
    <row r="2338" spans="1:3" ht="16.2" x14ac:dyDescent="0.35">
      <c r="A2338" s="20">
        <v>42327</v>
      </c>
      <c r="B2338" s="21">
        <v>3.97</v>
      </c>
      <c r="C2338" s="238">
        <f t="shared" si="48"/>
        <v>42309</v>
      </c>
    </row>
    <row r="2339" spans="1:3" ht="16.2" x14ac:dyDescent="0.35">
      <c r="A2339" s="20">
        <v>42333</v>
      </c>
      <c r="B2339" s="21">
        <v>3.95</v>
      </c>
      <c r="C2339" s="238">
        <f t="shared" si="48"/>
        <v>42309</v>
      </c>
    </row>
    <row r="2340" spans="1:3" ht="16.2" x14ac:dyDescent="0.35">
      <c r="A2340" s="20">
        <v>42341</v>
      </c>
      <c r="B2340" s="21">
        <v>3.93</v>
      </c>
      <c r="C2340" s="238">
        <f t="shared" si="48"/>
        <v>42339</v>
      </c>
    </row>
    <row r="2341" spans="1:3" ht="16.2" x14ac:dyDescent="0.35">
      <c r="A2341" s="20">
        <v>42348</v>
      </c>
      <c r="B2341" s="21">
        <v>3.95</v>
      </c>
      <c r="C2341" s="238">
        <f t="shared" si="48"/>
        <v>42339</v>
      </c>
    </row>
    <row r="2342" spans="1:3" ht="16.2" x14ac:dyDescent="0.35">
      <c r="A2342" s="20">
        <v>42355</v>
      </c>
      <c r="B2342" s="21">
        <v>3.97</v>
      </c>
      <c r="C2342" s="238">
        <f t="shared" si="48"/>
        <v>42339</v>
      </c>
    </row>
    <row r="2343" spans="1:3" ht="16.2" x14ac:dyDescent="0.35">
      <c r="A2343" s="20">
        <v>42362</v>
      </c>
      <c r="B2343" s="21">
        <v>3.96</v>
      </c>
      <c r="C2343" s="238">
        <f t="shared" si="48"/>
        <v>42339</v>
      </c>
    </row>
    <row r="2344" spans="1:3" ht="16.2" x14ac:dyDescent="0.35">
      <c r="A2344" s="20">
        <v>42369</v>
      </c>
      <c r="B2344" s="21">
        <v>4.01</v>
      </c>
      <c r="C2344" s="238">
        <f t="shared" si="48"/>
        <v>42339</v>
      </c>
    </row>
    <row r="2345" spans="1:3" ht="16.2" x14ac:dyDescent="0.35">
      <c r="A2345" s="20">
        <v>42376</v>
      </c>
      <c r="B2345" s="21">
        <v>3.97</v>
      </c>
      <c r="C2345" s="238">
        <f t="shared" si="48"/>
        <v>42370</v>
      </c>
    </row>
    <row r="2346" spans="1:3" ht="16.2" x14ac:dyDescent="0.35">
      <c r="A2346" s="20">
        <v>42383</v>
      </c>
      <c r="B2346" s="21">
        <v>3.92</v>
      </c>
      <c r="C2346" s="238">
        <f t="shared" si="48"/>
        <v>42370</v>
      </c>
    </row>
    <row r="2347" spans="1:3" ht="16.2" x14ac:dyDescent="0.35">
      <c r="A2347" s="20">
        <v>42390</v>
      </c>
      <c r="B2347" s="21">
        <v>3.81</v>
      </c>
      <c r="C2347" s="238">
        <f t="shared" si="48"/>
        <v>42370</v>
      </c>
    </row>
    <row r="2348" spans="1:3" ht="16.2" x14ac:dyDescent="0.35">
      <c r="A2348" s="20">
        <v>42397</v>
      </c>
      <c r="B2348" s="21">
        <v>3.79</v>
      </c>
      <c r="C2348" s="238">
        <f t="shared" si="48"/>
        <v>42370</v>
      </c>
    </row>
    <row r="2349" spans="1:3" ht="16.2" x14ac:dyDescent="0.35">
      <c r="A2349" s="20">
        <v>42404</v>
      </c>
      <c r="B2349" s="21">
        <v>3.72</v>
      </c>
      <c r="C2349" s="238">
        <f t="shared" si="48"/>
        <v>42401</v>
      </c>
    </row>
    <row r="2350" spans="1:3" ht="16.2" x14ac:dyDescent="0.35">
      <c r="A2350" s="20">
        <v>42411</v>
      </c>
      <c r="B2350" s="21">
        <v>3.65</v>
      </c>
      <c r="C2350" s="238">
        <f t="shared" si="48"/>
        <v>42401</v>
      </c>
    </row>
    <row r="2351" spans="1:3" ht="16.2" x14ac:dyDescent="0.35">
      <c r="A2351" s="20">
        <v>42418</v>
      </c>
      <c r="B2351" s="21">
        <v>3.65</v>
      </c>
      <c r="C2351" s="238">
        <f t="shared" si="48"/>
        <v>42401</v>
      </c>
    </row>
    <row r="2352" spans="1:3" ht="16.2" x14ac:dyDescent="0.35">
      <c r="A2352" s="20">
        <v>42425</v>
      </c>
      <c r="B2352" s="21">
        <v>3.62</v>
      </c>
      <c r="C2352" s="238">
        <f t="shared" si="48"/>
        <v>42401</v>
      </c>
    </row>
    <row r="2353" spans="1:3" ht="16.2" x14ac:dyDescent="0.35">
      <c r="A2353" s="20">
        <v>42432</v>
      </c>
      <c r="B2353" s="21">
        <v>3.64</v>
      </c>
      <c r="C2353" s="238">
        <f t="shared" si="48"/>
        <v>42430</v>
      </c>
    </row>
    <row r="2354" spans="1:3" ht="16.2" x14ac:dyDescent="0.35">
      <c r="A2354" s="20">
        <v>42439</v>
      </c>
      <c r="B2354" s="21">
        <v>3.68</v>
      </c>
      <c r="C2354" s="238">
        <f t="shared" si="48"/>
        <v>42430</v>
      </c>
    </row>
    <row r="2355" spans="1:3" ht="16.2" x14ac:dyDescent="0.35">
      <c r="A2355" s="20">
        <v>42446</v>
      </c>
      <c r="B2355" s="21">
        <v>3.73</v>
      </c>
      <c r="C2355" s="238">
        <f t="shared" si="48"/>
        <v>42430</v>
      </c>
    </row>
    <row r="2356" spans="1:3" ht="16.2" x14ac:dyDescent="0.35">
      <c r="A2356" s="20">
        <v>42453</v>
      </c>
      <c r="B2356" s="21">
        <v>3.71</v>
      </c>
      <c r="C2356" s="238">
        <f t="shared" si="48"/>
        <v>42430</v>
      </c>
    </row>
    <row r="2357" spans="1:3" ht="16.2" x14ac:dyDescent="0.35">
      <c r="A2357" s="20">
        <v>42460</v>
      </c>
      <c r="B2357" s="21">
        <v>3.71</v>
      </c>
      <c r="C2357" s="238">
        <f t="shared" si="48"/>
        <v>42430</v>
      </c>
    </row>
    <row r="2358" spans="1:3" ht="16.2" x14ac:dyDescent="0.35">
      <c r="A2358" s="20">
        <v>42467</v>
      </c>
      <c r="B2358" s="21">
        <v>3.59</v>
      </c>
      <c r="C2358" s="238">
        <f t="shared" si="48"/>
        <v>42461</v>
      </c>
    </row>
    <row r="2359" spans="1:3" ht="16.2" x14ac:dyDescent="0.35">
      <c r="A2359" s="20">
        <v>42474</v>
      </c>
      <c r="B2359" s="21">
        <v>3.58</v>
      </c>
      <c r="C2359" s="238">
        <f t="shared" si="48"/>
        <v>42461</v>
      </c>
    </row>
    <row r="2360" spans="1:3" ht="16.2" x14ac:dyDescent="0.35">
      <c r="A2360" s="20">
        <v>42481</v>
      </c>
      <c r="B2360" s="21">
        <v>3.59</v>
      </c>
      <c r="C2360" s="238">
        <f t="shared" si="48"/>
        <v>42461</v>
      </c>
    </row>
    <row r="2361" spans="1:3" ht="16.2" x14ac:dyDescent="0.35">
      <c r="A2361" s="20">
        <v>42488</v>
      </c>
      <c r="B2361" s="21">
        <v>3.66</v>
      </c>
      <c r="C2361" s="238">
        <f t="shared" si="48"/>
        <v>42461</v>
      </c>
    </row>
    <row r="2362" spans="1:3" ht="16.2" x14ac:dyDescent="0.35">
      <c r="A2362" s="20">
        <v>42495</v>
      </c>
      <c r="B2362" s="21">
        <v>3.61</v>
      </c>
      <c r="C2362" s="238">
        <f t="shared" si="48"/>
        <v>42491</v>
      </c>
    </row>
    <row r="2363" spans="1:3" ht="16.2" x14ac:dyDescent="0.35">
      <c r="A2363" s="20">
        <v>42502</v>
      </c>
      <c r="B2363" s="21">
        <v>3.57</v>
      </c>
      <c r="C2363" s="238">
        <f t="shared" si="48"/>
        <v>42491</v>
      </c>
    </row>
    <row r="2364" spans="1:3" ht="16.2" x14ac:dyDescent="0.35">
      <c r="A2364" s="20">
        <v>42509</v>
      </c>
      <c r="B2364" s="21">
        <v>3.58</v>
      </c>
      <c r="C2364" s="238">
        <f t="shared" si="48"/>
        <v>42491</v>
      </c>
    </row>
    <row r="2365" spans="1:3" ht="16.2" x14ac:dyDescent="0.35">
      <c r="A2365" s="20">
        <v>42516</v>
      </c>
      <c r="B2365" s="21">
        <v>3.64</v>
      </c>
      <c r="C2365" s="238">
        <f t="shared" si="48"/>
        <v>42491</v>
      </c>
    </row>
    <row r="2366" spans="1:3" ht="16.2" x14ac:dyDescent="0.35">
      <c r="A2366" s="20">
        <v>42523</v>
      </c>
      <c r="B2366" s="21">
        <v>3.66</v>
      </c>
      <c r="C2366" s="238">
        <f t="shared" si="48"/>
        <v>42522</v>
      </c>
    </row>
    <row r="2367" spans="1:3" ht="16.2" x14ac:dyDescent="0.35">
      <c r="A2367" s="20">
        <v>42530</v>
      </c>
      <c r="B2367" s="21">
        <v>3.6</v>
      </c>
      <c r="C2367" s="238">
        <f t="shared" si="48"/>
        <v>42522</v>
      </c>
    </row>
    <row r="2368" spans="1:3" ht="16.2" x14ac:dyDescent="0.35">
      <c r="A2368" s="20">
        <v>42537</v>
      </c>
      <c r="B2368" s="21">
        <v>3.54</v>
      </c>
      <c r="C2368" s="238">
        <f t="shared" si="48"/>
        <v>42522</v>
      </c>
    </row>
    <row r="2369" spans="1:3" ht="16.2" x14ac:dyDescent="0.35">
      <c r="A2369" s="20">
        <v>42544</v>
      </c>
      <c r="B2369" s="21">
        <v>3.56</v>
      </c>
      <c r="C2369" s="238">
        <f t="shared" si="48"/>
        <v>42522</v>
      </c>
    </row>
    <row r="2370" spans="1:3" ht="16.2" x14ac:dyDescent="0.35">
      <c r="A2370" s="20">
        <v>42551</v>
      </c>
      <c r="B2370" s="21">
        <v>3.48</v>
      </c>
      <c r="C2370" s="238">
        <f t="shared" si="48"/>
        <v>42522</v>
      </c>
    </row>
    <row r="2371" spans="1:3" ht="16.2" x14ac:dyDescent="0.35">
      <c r="A2371" s="20">
        <v>42558</v>
      </c>
      <c r="B2371" s="21">
        <v>3.41</v>
      </c>
      <c r="C2371" s="238">
        <f t="shared" si="48"/>
        <v>42552</v>
      </c>
    </row>
    <row r="2372" spans="1:3" ht="16.2" x14ac:dyDescent="0.35">
      <c r="A2372" s="20">
        <v>42565</v>
      </c>
      <c r="B2372" s="21">
        <v>3.42</v>
      </c>
      <c r="C2372" s="238">
        <f t="shared" si="48"/>
        <v>42552</v>
      </c>
    </row>
    <row r="2373" spans="1:3" ht="16.2" x14ac:dyDescent="0.35">
      <c r="A2373" s="20">
        <v>42572</v>
      </c>
      <c r="B2373" s="21">
        <v>3.45</v>
      </c>
      <c r="C2373" s="238">
        <f t="shared" si="48"/>
        <v>42552</v>
      </c>
    </row>
    <row r="2374" spans="1:3" ht="16.2" x14ac:dyDescent="0.35">
      <c r="A2374" s="20">
        <v>42579</v>
      </c>
      <c r="B2374" s="21">
        <v>3.48</v>
      </c>
      <c r="C2374" s="238">
        <f t="shared" si="48"/>
        <v>42552</v>
      </c>
    </row>
    <row r="2375" spans="1:3" ht="16.2" x14ac:dyDescent="0.35">
      <c r="A2375" s="20">
        <v>42586</v>
      </c>
      <c r="B2375" s="21">
        <v>3.43</v>
      </c>
      <c r="C2375" s="238">
        <f t="shared" si="48"/>
        <v>42583</v>
      </c>
    </row>
    <row r="2376" spans="1:3" ht="16.2" x14ac:dyDescent="0.35">
      <c r="A2376" s="20">
        <v>42593</v>
      </c>
      <c r="B2376" s="21">
        <v>3.45</v>
      </c>
      <c r="C2376" s="238">
        <f t="shared" si="48"/>
        <v>42583</v>
      </c>
    </row>
    <row r="2377" spans="1:3" ht="16.2" x14ac:dyDescent="0.35">
      <c r="A2377" s="20">
        <v>42600</v>
      </c>
      <c r="B2377" s="21">
        <v>3.43</v>
      </c>
      <c r="C2377" s="238">
        <f t="shared" si="48"/>
        <v>42583</v>
      </c>
    </row>
    <row r="2378" spans="1:3" ht="16.2" x14ac:dyDescent="0.35">
      <c r="A2378" s="20">
        <v>42607</v>
      </c>
      <c r="B2378" s="21">
        <v>3.43</v>
      </c>
      <c r="C2378" s="238">
        <f t="shared" si="48"/>
        <v>42583</v>
      </c>
    </row>
    <row r="2379" spans="1:3" ht="16.2" x14ac:dyDescent="0.35">
      <c r="A2379" s="20">
        <v>42614</v>
      </c>
      <c r="B2379" s="21">
        <v>3.46</v>
      </c>
      <c r="C2379" s="238">
        <f t="shared" si="48"/>
        <v>42614</v>
      </c>
    </row>
    <row r="2380" spans="1:3" ht="16.2" x14ac:dyDescent="0.35">
      <c r="A2380" s="20">
        <v>42621</v>
      </c>
      <c r="B2380" s="21">
        <v>3.44</v>
      </c>
      <c r="C2380" s="238">
        <f t="shared" si="48"/>
        <v>42614</v>
      </c>
    </row>
    <row r="2381" spans="1:3" ht="16.2" x14ac:dyDescent="0.35">
      <c r="A2381" s="20">
        <v>42628</v>
      </c>
      <c r="B2381" s="21">
        <v>3.5</v>
      </c>
      <c r="C2381" s="238">
        <f t="shared" si="48"/>
        <v>42614</v>
      </c>
    </row>
    <row r="2382" spans="1:3" ht="16.2" x14ac:dyDescent="0.35">
      <c r="A2382" s="20">
        <v>42635</v>
      </c>
      <c r="B2382" s="21">
        <v>3.48</v>
      </c>
      <c r="C2382" s="238">
        <f t="shared" si="48"/>
        <v>42614</v>
      </c>
    </row>
    <row r="2383" spans="1:3" ht="16.2" x14ac:dyDescent="0.35">
      <c r="A2383" s="20">
        <v>42642</v>
      </c>
      <c r="B2383" s="21">
        <v>3.42</v>
      </c>
      <c r="C2383" s="238">
        <f t="shared" si="48"/>
        <v>42614</v>
      </c>
    </row>
    <row r="2384" spans="1:3" ht="16.2" x14ac:dyDescent="0.35">
      <c r="A2384" s="20">
        <v>42649</v>
      </c>
      <c r="B2384" s="21">
        <v>3.42</v>
      </c>
      <c r="C2384" s="238">
        <f t="shared" ref="C2384:C2447" si="49">EOMONTH(A2384,-1)+1</f>
        <v>42644</v>
      </c>
    </row>
    <row r="2385" spans="1:3" ht="16.2" x14ac:dyDescent="0.35">
      <c r="A2385" s="20">
        <v>42656</v>
      </c>
      <c r="B2385" s="21">
        <v>3.47</v>
      </c>
      <c r="C2385" s="238">
        <f t="shared" si="49"/>
        <v>42644</v>
      </c>
    </row>
    <row r="2386" spans="1:3" ht="16.2" x14ac:dyDescent="0.35">
      <c r="A2386" s="20">
        <v>42663</v>
      </c>
      <c r="B2386" s="21">
        <v>3.52</v>
      </c>
      <c r="C2386" s="238">
        <f t="shared" si="49"/>
        <v>42644</v>
      </c>
    </row>
    <row r="2387" spans="1:3" ht="16.2" x14ac:dyDescent="0.35">
      <c r="A2387" s="20">
        <v>42670</v>
      </c>
      <c r="B2387" s="21">
        <v>3.47</v>
      </c>
      <c r="C2387" s="238">
        <f t="shared" si="49"/>
        <v>42644</v>
      </c>
    </row>
    <row r="2388" spans="1:3" ht="16.2" x14ac:dyDescent="0.35">
      <c r="A2388" s="20">
        <v>42677</v>
      </c>
      <c r="B2388" s="21">
        <v>3.54</v>
      </c>
      <c r="C2388" s="238">
        <f t="shared" si="49"/>
        <v>42675</v>
      </c>
    </row>
    <row r="2389" spans="1:3" ht="16.2" x14ac:dyDescent="0.35">
      <c r="A2389" s="20">
        <v>42684</v>
      </c>
      <c r="B2389" s="21">
        <v>3.57</v>
      </c>
      <c r="C2389" s="238">
        <f t="shared" si="49"/>
        <v>42675</v>
      </c>
    </row>
    <row r="2390" spans="1:3" ht="16.2" x14ac:dyDescent="0.35">
      <c r="A2390" s="20">
        <v>42691</v>
      </c>
      <c r="B2390" s="21">
        <v>3.94</v>
      </c>
      <c r="C2390" s="238">
        <f t="shared" si="49"/>
        <v>42675</v>
      </c>
    </row>
    <row r="2391" spans="1:3" ht="16.2" x14ac:dyDescent="0.35">
      <c r="A2391" s="20">
        <v>42697</v>
      </c>
      <c r="B2391" s="21">
        <v>4.03</v>
      </c>
      <c r="C2391" s="238">
        <f t="shared" si="49"/>
        <v>42675</v>
      </c>
    </row>
    <row r="2392" spans="1:3" ht="16.2" x14ac:dyDescent="0.35">
      <c r="A2392" s="20">
        <v>42705</v>
      </c>
      <c r="B2392" s="21">
        <v>4.08</v>
      </c>
      <c r="C2392" s="238">
        <f t="shared" si="49"/>
        <v>42705</v>
      </c>
    </row>
    <row r="2393" spans="1:3" ht="16.2" x14ac:dyDescent="0.35">
      <c r="A2393" s="20">
        <v>42712</v>
      </c>
      <c r="B2393" s="21">
        <v>4.13</v>
      </c>
      <c r="C2393" s="238">
        <f t="shared" si="49"/>
        <v>42705</v>
      </c>
    </row>
    <row r="2394" spans="1:3" ht="16.2" x14ac:dyDescent="0.35">
      <c r="A2394" s="20">
        <v>42719</v>
      </c>
      <c r="B2394" s="21">
        <v>4.16</v>
      </c>
      <c r="C2394" s="238">
        <f t="shared" si="49"/>
        <v>42705</v>
      </c>
    </row>
    <row r="2395" spans="1:3" ht="16.2" x14ac:dyDescent="0.35">
      <c r="A2395" s="20">
        <v>42726</v>
      </c>
      <c r="B2395" s="21">
        <v>4.3</v>
      </c>
      <c r="C2395" s="238">
        <f t="shared" si="49"/>
        <v>42705</v>
      </c>
    </row>
    <row r="2396" spans="1:3" ht="16.2" x14ac:dyDescent="0.35">
      <c r="A2396" s="20">
        <v>42733</v>
      </c>
      <c r="B2396" s="21">
        <v>4.32</v>
      </c>
      <c r="C2396" s="238">
        <f t="shared" si="49"/>
        <v>42705</v>
      </c>
    </row>
    <row r="2397" spans="1:3" ht="16.2" x14ac:dyDescent="0.35">
      <c r="A2397" s="20">
        <v>42740</v>
      </c>
      <c r="B2397" s="21">
        <v>4.2</v>
      </c>
      <c r="C2397" s="238">
        <f t="shared" si="49"/>
        <v>42736</v>
      </c>
    </row>
    <row r="2398" spans="1:3" ht="16.2" x14ac:dyDescent="0.35">
      <c r="A2398" s="20">
        <v>42747</v>
      </c>
      <c r="B2398" s="21">
        <v>4.12</v>
      </c>
      <c r="C2398" s="238">
        <f t="shared" si="49"/>
        <v>42736</v>
      </c>
    </row>
    <row r="2399" spans="1:3" ht="16.2" x14ac:dyDescent="0.35">
      <c r="A2399" s="20">
        <v>42754</v>
      </c>
      <c r="B2399" s="21">
        <v>4.09</v>
      </c>
      <c r="C2399" s="238">
        <f t="shared" si="49"/>
        <v>42736</v>
      </c>
    </row>
    <row r="2400" spans="1:3" ht="16.2" x14ac:dyDescent="0.35">
      <c r="A2400" s="20">
        <v>42761</v>
      </c>
      <c r="B2400" s="21">
        <v>4.1900000000000004</v>
      </c>
      <c r="C2400" s="238">
        <f t="shared" si="49"/>
        <v>42736</v>
      </c>
    </row>
    <row r="2401" spans="1:3" ht="16.2" x14ac:dyDescent="0.35">
      <c r="A2401" s="20">
        <v>42768</v>
      </c>
      <c r="B2401" s="21">
        <v>4.1900000000000004</v>
      </c>
      <c r="C2401" s="238">
        <f t="shared" si="49"/>
        <v>42767</v>
      </c>
    </row>
    <row r="2402" spans="1:3" ht="16.2" x14ac:dyDescent="0.35">
      <c r="A2402" s="20">
        <v>42775</v>
      </c>
      <c r="B2402" s="21">
        <v>4.17</v>
      </c>
      <c r="C2402" s="238">
        <f t="shared" si="49"/>
        <v>42767</v>
      </c>
    </row>
    <row r="2403" spans="1:3" ht="16.2" x14ac:dyDescent="0.35">
      <c r="A2403" s="20">
        <v>42782</v>
      </c>
      <c r="B2403" s="21">
        <v>4.1500000000000004</v>
      </c>
      <c r="C2403" s="238">
        <f t="shared" si="49"/>
        <v>42767</v>
      </c>
    </row>
    <row r="2404" spans="1:3" ht="16.2" x14ac:dyDescent="0.35">
      <c r="A2404" s="20">
        <v>42789</v>
      </c>
      <c r="B2404" s="21">
        <v>4.16</v>
      </c>
      <c r="C2404" s="238">
        <f t="shared" si="49"/>
        <v>42767</v>
      </c>
    </row>
    <row r="2405" spans="1:3" ht="16.2" x14ac:dyDescent="0.35">
      <c r="A2405" s="20">
        <v>42796</v>
      </c>
      <c r="B2405" s="21">
        <v>4.0999999999999996</v>
      </c>
      <c r="C2405" s="238">
        <f t="shared" si="49"/>
        <v>42795</v>
      </c>
    </row>
    <row r="2406" spans="1:3" ht="16.2" x14ac:dyDescent="0.35">
      <c r="A2406" s="20">
        <v>42803</v>
      </c>
      <c r="B2406" s="21">
        <v>4.21</v>
      </c>
      <c r="C2406" s="238">
        <f t="shared" si="49"/>
        <v>42795</v>
      </c>
    </row>
    <row r="2407" spans="1:3" ht="16.2" x14ac:dyDescent="0.35">
      <c r="A2407" s="20">
        <v>42810</v>
      </c>
      <c r="B2407" s="21">
        <v>4.3</v>
      </c>
      <c r="C2407" s="238">
        <f t="shared" si="49"/>
        <v>42795</v>
      </c>
    </row>
    <row r="2408" spans="1:3" ht="16.2" x14ac:dyDescent="0.35">
      <c r="A2408" s="20">
        <v>42817</v>
      </c>
      <c r="B2408" s="21">
        <v>4.2300000000000004</v>
      </c>
      <c r="C2408" s="238">
        <f t="shared" si="49"/>
        <v>42795</v>
      </c>
    </row>
    <row r="2409" spans="1:3" ht="16.2" x14ac:dyDescent="0.35">
      <c r="A2409" s="20">
        <v>42824</v>
      </c>
      <c r="B2409" s="21">
        <v>4.1399999999999997</v>
      </c>
      <c r="C2409" s="238">
        <f t="shared" si="49"/>
        <v>42795</v>
      </c>
    </row>
    <row r="2410" spans="1:3" ht="16.2" x14ac:dyDescent="0.35">
      <c r="A2410" s="20">
        <v>42831</v>
      </c>
      <c r="B2410" s="21">
        <v>4.0999999999999996</v>
      </c>
      <c r="C2410" s="238">
        <f t="shared" si="49"/>
        <v>42826</v>
      </c>
    </row>
    <row r="2411" spans="1:3" ht="16.2" x14ac:dyDescent="0.35">
      <c r="A2411" s="20">
        <v>42838</v>
      </c>
      <c r="B2411" s="21">
        <v>4.08</v>
      </c>
      <c r="C2411" s="238">
        <f t="shared" si="49"/>
        <v>42826</v>
      </c>
    </row>
    <row r="2412" spans="1:3" ht="16.2" x14ac:dyDescent="0.35">
      <c r="A2412" s="20">
        <v>42845</v>
      </c>
      <c r="B2412" s="21">
        <v>3.97</v>
      </c>
      <c r="C2412" s="238">
        <f t="shared" si="49"/>
        <v>42826</v>
      </c>
    </row>
    <row r="2413" spans="1:3" ht="16.2" x14ac:dyDescent="0.35">
      <c r="A2413" s="20">
        <v>42852</v>
      </c>
      <c r="B2413" s="21">
        <v>4.03</v>
      </c>
      <c r="C2413" s="238">
        <f t="shared" si="49"/>
        <v>42826</v>
      </c>
    </row>
    <row r="2414" spans="1:3" ht="16.2" x14ac:dyDescent="0.35">
      <c r="A2414" s="20">
        <v>42859</v>
      </c>
      <c r="B2414" s="21">
        <v>4.0199999999999996</v>
      </c>
      <c r="C2414" s="238">
        <f t="shared" si="49"/>
        <v>42856</v>
      </c>
    </row>
    <row r="2415" spans="1:3" ht="16.2" x14ac:dyDescent="0.35">
      <c r="A2415" s="20">
        <v>42866</v>
      </c>
      <c r="B2415" s="21">
        <v>4.05</v>
      </c>
      <c r="C2415" s="238">
        <f t="shared" si="49"/>
        <v>42856</v>
      </c>
    </row>
    <row r="2416" spans="1:3" ht="16.2" x14ac:dyDescent="0.35">
      <c r="A2416" s="20">
        <v>42873</v>
      </c>
      <c r="B2416" s="21">
        <v>4.0199999999999996</v>
      </c>
      <c r="C2416" s="238">
        <f t="shared" si="49"/>
        <v>42856</v>
      </c>
    </row>
    <row r="2417" spans="1:3" ht="16.2" x14ac:dyDescent="0.35">
      <c r="A2417" s="20">
        <v>42880</v>
      </c>
      <c r="B2417" s="21">
        <v>3.95</v>
      </c>
      <c r="C2417" s="238">
        <f t="shared" si="49"/>
        <v>42856</v>
      </c>
    </row>
    <row r="2418" spans="1:3" ht="16.2" x14ac:dyDescent="0.35">
      <c r="A2418" s="20">
        <v>42887</v>
      </c>
      <c r="B2418" s="21">
        <v>3.94</v>
      </c>
      <c r="C2418" s="238">
        <f t="shared" si="49"/>
        <v>42887</v>
      </c>
    </row>
    <row r="2419" spans="1:3" ht="16.2" x14ac:dyDescent="0.35">
      <c r="A2419" s="20">
        <v>42894</v>
      </c>
      <c r="B2419" s="21">
        <v>3.89</v>
      </c>
      <c r="C2419" s="238">
        <f t="shared" si="49"/>
        <v>42887</v>
      </c>
    </row>
    <row r="2420" spans="1:3" ht="16.2" x14ac:dyDescent="0.35">
      <c r="A2420" s="20">
        <v>42901</v>
      </c>
      <c r="B2420" s="21">
        <v>3.91</v>
      </c>
      <c r="C2420" s="238">
        <f t="shared" si="49"/>
        <v>42887</v>
      </c>
    </row>
    <row r="2421" spans="1:3" ht="16.2" x14ac:dyDescent="0.35">
      <c r="A2421" s="20">
        <v>42908</v>
      </c>
      <c r="B2421" s="21">
        <v>3.9</v>
      </c>
      <c r="C2421" s="238">
        <f t="shared" si="49"/>
        <v>42887</v>
      </c>
    </row>
    <row r="2422" spans="1:3" ht="16.2" x14ac:dyDescent="0.35">
      <c r="A2422" s="20">
        <v>42915</v>
      </c>
      <c r="B2422" s="21">
        <v>3.88</v>
      </c>
      <c r="C2422" s="238">
        <f t="shared" si="49"/>
        <v>42887</v>
      </c>
    </row>
    <row r="2423" spans="1:3" ht="16.2" x14ac:dyDescent="0.35">
      <c r="A2423" s="20">
        <v>42922</v>
      </c>
      <c r="B2423" s="21">
        <v>3.96</v>
      </c>
      <c r="C2423" s="238">
        <f t="shared" si="49"/>
        <v>42917</v>
      </c>
    </row>
    <row r="2424" spans="1:3" ht="16.2" x14ac:dyDescent="0.35">
      <c r="A2424" s="20">
        <v>42929</v>
      </c>
      <c r="B2424" s="21">
        <v>4.03</v>
      </c>
      <c r="C2424" s="238">
        <f t="shared" si="49"/>
        <v>42917</v>
      </c>
    </row>
    <row r="2425" spans="1:3" ht="16.2" x14ac:dyDescent="0.35">
      <c r="A2425" s="20">
        <v>42936</v>
      </c>
      <c r="B2425" s="21">
        <v>3.96</v>
      </c>
      <c r="C2425" s="238">
        <f t="shared" si="49"/>
        <v>42917</v>
      </c>
    </row>
    <row r="2426" spans="1:3" ht="16.2" x14ac:dyDescent="0.35">
      <c r="A2426" s="20">
        <v>42943</v>
      </c>
      <c r="B2426" s="21">
        <v>3.92</v>
      </c>
      <c r="C2426" s="238">
        <f t="shared" si="49"/>
        <v>42917</v>
      </c>
    </row>
    <row r="2427" spans="1:3" ht="16.2" x14ac:dyDescent="0.35">
      <c r="A2427" s="20">
        <v>42950</v>
      </c>
      <c r="B2427" s="21">
        <v>3.93</v>
      </c>
      <c r="C2427" s="238">
        <f t="shared" si="49"/>
        <v>42948</v>
      </c>
    </row>
    <row r="2428" spans="1:3" ht="16.2" x14ac:dyDescent="0.35">
      <c r="A2428" s="20">
        <v>42957</v>
      </c>
      <c r="B2428" s="21">
        <v>3.9</v>
      </c>
      <c r="C2428" s="238">
        <f t="shared" si="49"/>
        <v>42948</v>
      </c>
    </row>
    <row r="2429" spans="1:3" ht="16.2" x14ac:dyDescent="0.35">
      <c r="A2429" s="20">
        <v>42964</v>
      </c>
      <c r="B2429" s="21">
        <v>3.89</v>
      </c>
      <c r="C2429" s="238">
        <f t="shared" si="49"/>
        <v>42948</v>
      </c>
    </row>
    <row r="2430" spans="1:3" ht="16.2" x14ac:dyDescent="0.35">
      <c r="A2430" s="20">
        <v>42971</v>
      </c>
      <c r="B2430" s="21">
        <v>3.86</v>
      </c>
      <c r="C2430" s="238">
        <f t="shared" si="49"/>
        <v>42948</v>
      </c>
    </row>
    <row r="2431" spans="1:3" ht="16.2" x14ac:dyDescent="0.35">
      <c r="A2431" s="20">
        <v>42978</v>
      </c>
      <c r="B2431" s="21">
        <v>3.82</v>
      </c>
      <c r="C2431" s="238">
        <f t="shared" si="49"/>
        <v>42948</v>
      </c>
    </row>
    <row r="2432" spans="1:3" ht="16.2" x14ac:dyDescent="0.35">
      <c r="A2432" s="20">
        <v>42985</v>
      </c>
      <c r="B2432" s="21">
        <v>3.78</v>
      </c>
      <c r="C2432" s="238">
        <f t="shared" si="49"/>
        <v>42979</v>
      </c>
    </row>
    <row r="2433" spans="1:3" ht="16.2" x14ac:dyDescent="0.35">
      <c r="A2433" s="20">
        <v>42992</v>
      </c>
      <c r="B2433" s="21">
        <v>3.78</v>
      </c>
      <c r="C2433" s="238">
        <f t="shared" si="49"/>
        <v>42979</v>
      </c>
    </row>
    <row r="2434" spans="1:3" ht="16.2" x14ac:dyDescent="0.35">
      <c r="A2434" s="20">
        <v>42999</v>
      </c>
      <c r="B2434" s="21">
        <v>3.83</v>
      </c>
      <c r="C2434" s="238">
        <f t="shared" si="49"/>
        <v>42979</v>
      </c>
    </row>
    <row r="2435" spans="1:3" ht="16.2" x14ac:dyDescent="0.35">
      <c r="A2435" s="20">
        <v>43006</v>
      </c>
      <c r="B2435" s="21">
        <v>3.83</v>
      </c>
      <c r="C2435" s="238">
        <f t="shared" si="49"/>
        <v>42979</v>
      </c>
    </row>
    <row r="2436" spans="1:3" ht="16.2" x14ac:dyDescent="0.35">
      <c r="A2436" s="20">
        <v>43013</v>
      </c>
      <c r="B2436" s="21">
        <v>3.85</v>
      </c>
      <c r="C2436" s="238">
        <f t="shared" si="49"/>
        <v>43009</v>
      </c>
    </row>
    <row r="2437" spans="1:3" ht="16.2" x14ac:dyDescent="0.35">
      <c r="A2437" s="20">
        <v>43020</v>
      </c>
      <c r="B2437" s="21">
        <v>3.91</v>
      </c>
      <c r="C2437" s="238">
        <f t="shared" si="49"/>
        <v>43009</v>
      </c>
    </row>
    <row r="2438" spans="1:3" ht="16.2" x14ac:dyDescent="0.35">
      <c r="A2438" s="20">
        <v>43027</v>
      </c>
      <c r="B2438" s="21">
        <v>3.88</v>
      </c>
      <c r="C2438" s="238">
        <f t="shared" si="49"/>
        <v>43009</v>
      </c>
    </row>
    <row r="2439" spans="1:3" ht="16.2" x14ac:dyDescent="0.35">
      <c r="A2439" s="20">
        <v>43034</v>
      </c>
      <c r="B2439" s="21">
        <v>3.94</v>
      </c>
      <c r="C2439" s="238">
        <f t="shared" si="49"/>
        <v>43009</v>
      </c>
    </row>
    <row r="2440" spans="1:3" ht="16.2" x14ac:dyDescent="0.35">
      <c r="A2440" s="20">
        <v>43041</v>
      </c>
      <c r="B2440" s="21">
        <v>3.94</v>
      </c>
      <c r="C2440" s="238">
        <f t="shared" si="49"/>
        <v>43040</v>
      </c>
    </row>
    <row r="2441" spans="1:3" ht="16.2" x14ac:dyDescent="0.35">
      <c r="A2441" s="20">
        <v>43048</v>
      </c>
      <c r="B2441" s="21">
        <v>3.9</v>
      </c>
      <c r="C2441" s="238">
        <f t="shared" si="49"/>
        <v>43040</v>
      </c>
    </row>
    <row r="2442" spans="1:3" ht="16.2" x14ac:dyDescent="0.35">
      <c r="A2442" s="20">
        <v>43055</v>
      </c>
      <c r="B2442" s="21">
        <v>3.95</v>
      </c>
      <c r="C2442" s="238">
        <f t="shared" si="49"/>
        <v>43040</v>
      </c>
    </row>
    <row r="2443" spans="1:3" ht="16.2" x14ac:dyDescent="0.35">
      <c r="A2443" s="20">
        <v>43061</v>
      </c>
      <c r="B2443" s="21">
        <v>3.92</v>
      </c>
      <c r="C2443" s="238">
        <f t="shared" si="49"/>
        <v>43040</v>
      </c>
    </row>
    <row r="2444" spans="1:3" ht="16.2" x14ac:dyDescent="0.35">
      <c r="A2444" s="20">
        <v>43069</v>
      </c>
      <c r="B2444" s="21">
        <v>3.9</v>
      </c>
      <c r="C2444" s="238">
        <f t="shared" si="49"/>
        <v>43040</v>
      </c>
    </row>
    <row r="2445" spans="1:3" ht="16.2" x14ac:dyDescent="0.35">
      <c r="A2445" s="20">
        <v>43076</v>
      </c>
      <c r="B2445" s="21">
        <v>3.94</v>
      </c>
      <c r="C2445" s="238">
        <f t="shared" si="49"/>
        <v>43070</v>
      </c>
    </row>
    <row r="2446" spans="1:3" ht="16.2" x14ac:dyDescent="0.35">
      <c r="A2446" s="20">
        <v>43083</v>
      </c>
      <c r="B2446" s="21">
        <v>3.93</v>
      </c>
      <c r="C2446" s="238">
        <f t="shared" si="49"/>
        <v>43070</v>
      </c>
    </row>
    <row r="2447" spans="1:3" ht="16.2" x14ac:dyDescent="0.35">
      <c r="A2447" s="20">
        <v>43090</v>
      </c>
      <c r="B2447" s="21">
        <v>3.94</v>
      </c>
      <c r="C2447" s="238">
        <f t="shared" si="49"/>
        <v>43070</v>
      </c>
    </row>
    <row r="2448" spans="1:3" ht="16.2" x14ac:dyDescent="0.35">
      <c r="A2448" s="20">
        <v>43097</v>
      </c>
      <c r="B2448" s="21">
        <v>3.99</v>
      </c>
      <c r="C2448" s="238">
        <f t="shared" ref="C2448:C2511" si="50">EOMONTH(A2448,-1)+1</f>
        <v>43070</v>
      </c>
    </row>
    <row r="2449" spans="1:3" ht="16.2" x14ac:dyDescent="0.35">
      <c r="A2449" s="20">
        <v>43104</v>
      </c>
      <c r="B2449" s="21">
        <v>3.95</v>
      </c>
      <c r="C2449" s="238">
        <f t="shared" si="50"/>
        <v>43101</v>
      </c>
    </row>
    <row r="2450" spans="1:3" ht="16.2" x14ac:dyDescent="0.35">
      <c r="A2450" s="20">
        <v>43111</v>
      </c>
      <c r="B2450" s="21">
        <v>3.99</v>
      </c>
      <c r="C2450" s="238">
        <f t="shared" si="50"/>
        <v>43101</v>
      </c>
    </row>
    <row r="2451" spans="1:3" ht="16.2" x14ac:dyDescent="0.35">
      <c r="A2451" s="20">
        <v>43118</v>
      </c>
      <c r="B2451" s="21">
        <v>4.04</v>
      </c>
      <c r="C2451" s="238">
        <f t="shared" si="50"/>
        <v>43101</v>
      </c>
    </row>
    <row r="2452" spans="1:3" ht="16.2" x14ac:dyDescent="0.35">
      <c r="A2452" s="20">
        <v>43125</v>
      </c>
      <c r="B2452" s="21">
        <v>4.1500000000000004</v>
      </c>
      <c r="C2452" s="238">
        <f t="shared" si="50"/>
        <v>43101</v>
      </c>
    </row>
    <row r="2453" spans="1:3" ht="16.2" x14ac:dyDescent="0.35">
      <c r="A2453" s="20">
        <v>43132</v>
      </c>
      <c r="B2453" s="21">
        <v>4.22</v>
      </c>
      <c r="C2453" s="238">
        <f t="shared" si="50"/>
        <v>43132</v>
      </c>
    </row>
    <row r="2454" spans="1:3" ht="16.2" x14ac:dyDescent="0.35">
      <c r="A2454" s="20">
        <v>43139</v>
      </c>
      <c r="B2454" s="21">
        <v>4.32</v>
      </c>
      <c r="C2454" s="238">
        <f t="shared" si="50"/>
        <v>43132</v>
      </c>
    </row>
    <row r="2455" spans="1:3" ht="16.2" x14ac:dyDescent="0.35">
      <c r="A2455" s="20">
        <v>43146</v>
      </c>
      <c r="B2455" s="21">
        <v>4.38</v>
      </c>
      <c r="C2455" s="238">
        <f t="shared" si="50"/>
        <v>43132</v>
      </c>
    </row>
    <row r="2456" spans="1:3" ht="16.2" x14ac:dyDescent="0.35">
      <c r="A2456" s="20">
        <v>43153</v>
      </c>
      <c r="B2456" s="21">
        <v>4.4000000000000004</v>
      </c>
      <c r="C2456" s="238">
        <f t="shared" si="50"/>
        <v>43132</v>
      </c>
    </row>
    <row r="2457" spans="1:3" ht="16.2" x14ac:dyDescent="0.35">
      <c r="A2457" s="20">
        <v>43160</v>
      </c>
      <c r="B2457" s="21">
        <v>4.43</v>
      </c>
      <c r="C2457" s="238">
        <f t="shared" si="50"/>
        <v>43160</v>
      </c>
    </row>
    <row r="2458" spans="1:3" ht="16.2" x14ac:dyDescent="0.35">
      <c r="A2458" s="20">
        <v>43167</v>
      </c>
      <c r="B2458" s="21">
        <v>4.46</v>
      </c>
      <c r="C2458" s="238">
        <f t="shared" si="50"/>
        <v>43160</v>
      </c>
    </row>
    <row r="2459" spans="1:3" ht="16.2" x14ac:dyDescent="0.35">
      <c r="A2459" s="20">
        <v>43174</v>
      </c>
      <c r="B2459" s="21">
        <v>4.4400000000000004</v>
      </c>
      <c r="C2459" s="238">
        <f t="shared" si="50"/>
        <v>43160</v>
      </c>
    </row>
    <row r="2460" spans="1:3" ht="16.2" x14ac:dyDescent="0.35">
      <c r="A2460" s="20">
        <v>43181</v>
      </c>
      <c r="B2460" s="21">
        <v>4.45</v>
      </c>
      <c r="C2460" s="238">
        <f t="shared" si="50"/>
        <v>43160</v>
      </c>
    </row>
    <row r="2461" spans="1:3" ht="16.2" x14ac:dyDescent="0.35">
      <c r="A2461" s="20">
        <v>43188</v>
      </c>
      <c r="B2461" s="21">
        <v>4.4400000000000004</v>
      </c>
      <c r="C2461" s="238">
        <f t="shared" si="50"/>
        <v>43160</v>
      </c>
    </row>
    <row r="2462" spans="1:3" ht="16.2" x14ac:dyDescent="0.35">
      <c r="A2462" s="20">
        <v>43195</v>
      </c>
      <c r="B2462" s="21">
        <v>4.4000000000000004</v>
      </c>
      <c r="C2462" s="238">
        <f t="shared" si="50"/>
        <v>43191</v>
      </c>
    </row>
    <row r="2463" spans="1:3" ht="16.2" x14ac:dyDescent="0.35">
      <c r="A2463" s="20">
        <v>43202</v>
      </c>
      <c r="B2463" s="21">
        <v>4.42</v>
      </c>
      <c r="C2463" s="238">
        <f t="shared" si="50"/>
        <v>43191</v>
      </c>
    </row>
    <row r="2464" spans="1:3" ht="16.2" x14ac:dyDescent="0.35">
      <c r="A2464" s="20">
        <v>43209</v>
      </c>
      <c r="B2464" s="21">
        <v>4.47</v>
      </c>
      <c r="C2464" s="238">
        <f t="shared" si="50"/>
        <v>43191</v>
      </c>
    </row>
    <row r="2465" spans="1:3" ht="16.2" x14ac:dyDescent="0.35">
      <c r="A2465" s="20">
        <v>43216</v>
      </c>
      <c r="B2465" s="21">
        <v>4.58</v>
      </c>
      <c r="C2465" s="238">
        <f t="shared" si="50"/>
        <v>43191</v>
      </c>
    </row>
    <row r="2466" spans="1:3" ht="16.2" x14ac:dyDescent="0.35">
      <c r="A2466" s="20">
        <v>43223</v>
      </c>
      <c r="B2466" s="21">
        <v>4.55</v>
      </c>
      <c r="C2466" s="238">
        <f t="shared" si="50"/>
        <v>43221</v>
      </c>
    </row>
    <row r="2467" spans="1:3" ht="16.2" x14ac:dyDescent="0.35">
      <c r="A2467" s="20">
        <v>43230</v>
      </c>
      <c r="B2467" s="21">
        <v>4.55</v>
      </c>
      <c r="C2467" s="238">
        <f t="shared" si="50"/>
        <v>43221</v>
      </c>
    </row>
    <row r="2468" spans="1:3" ht="16.2" x14ac:dyDescent="0.35">
      <c r="A2468" s="20">
        <v>43237</v>
      </c>
      <c r="B2468" s="21">
        <v>4.6100000000000003</v>
      </c>
      <c r="C2468" s="238">
        <f t="shared" si="50"/>
        <v>43221</v>
      </c>
    </row>
    <row r="2469" spans="1:3" ht="16.2" x14ac:dyDescent="0.35">
      <c r="A2469" s="20">
        <v>43244</v>
      </c>
      <c r="B2469" s="21">
        <v>4.66</v>
      </c>
      <c r="C2469" s="238">
        <f t="shared" si="50"/>
        <v>43221</v>
      </c>
    </row>
    <row r="2470" spans="1:3" ht="16.2" x14ac:dyDescent="0.35">
      <c r="A2470" s="20">
        <v>43251</v>
      </c>
      <c r="B2470" s="21">
        <v>4.5599999999999996</v>
      </c>
      <c r="C2470" s="238">
        <f t="shared" si="50"/>
        <v>43221</v>
      </c>
    </row>
    <row r="2471" spans="1:3" ht="16.2" x14ac:dyDescent="0.35">
      <c r="A2471" s="20">
        <v>43258</v>
      </c>
      <c r="B2471" s="21">
        <v>4.54</v>
      </c>
      <c r="C2471" s="238">
        <f t="shared" si="50"/>
        <v>43252</v>
      </c>
    </row>
    <row r="2472" spans="1:3" ht="16.2" x14ac:dyDescent="0.35">
      <c r="A2472" s="20">
        <v>43265</v>
      </c>
      <c r="B2472" s="21">
        <v>4.62</v>
      </c>
      <c r="C2472" s="238">
        <f t="shared" si="50"/>
        <v>43252</v>
      </c>
    </row>
    <row r="2473" spans="1:3" ht="16.2" x14ac:dyDescent="0.35">
      <c r="A2473" s="20">
        <v>43272</v>
      </c>
      <c r="B2473" s="21">
        <v>4.57</v>
      </c>
      <c r="C2473" s="238">
        <f t="shared" si="50"/>
        <v>43252</v>
      </c>
    </row>
    <row r="2474" spans="1:3" ht="16.2" x14ac:dyDescent="0.35">
      <c r="A2474" s="20">
        <v>43279</v>
      </c>
      <c r="B2474" s="21">
        <v>4.55</v>
      </c>
      <c r="C2474" s="238">
        <f t="shared" si="50"/>
        <v>43252</v>
      </c>
    </row>
    <row r="2475" spans="1:3" ht="16.2" x14ac:dyDescent="0.35">
      <c r="A2475" s="20">
        <v>43286</v>
      </c>
      <c r="B2475" s="21">
        <v>4.5199999999999996</v>
      </c>
      <c r="C2475" s="238">
        <f t="shared" si="50"/>
        <v>43282</v>
      </c>
    </row>
    <row r="2476" spans="1:3" ht="16.2" x14ac:dyDescent="0.35">
      <c r="A2476" s="20">
        <v>43293</v>
      </c>
      <c r="B2476" s="21">
        <v>4.53</v>
      </c>
      <c r="C2476" s="238">
        <f t="shared" si="50"/>
        <v>43282</v>
      </c>
    </row>
    <row r="2477" spans="1:3" ht="16.2" x14ac:dyDescent="0.35">
      <c r="A2477" s="20">
        <v>43300</v>
      </c>
      <c r="B2477" s="21">
        <v>4.5199999999999996</v>
      </c>
      <c r="C2477" s="238">
        <f t="shared" si="50"/>
        <v>43282</v>
      </c>
    </row>
    <row r="2478" spans="1:3" ht="16.2" x14ac:dyDescent="0.35">
      <c r="A2478" s="20">
        <v>43307</v>
      </c>
      <c r="B2478" s="21">
        <v>4.54</v>
      </c>
      <c r="C2478" s="238">
        <f t="shared" si="50"/>
        <v>43282</v>
      </c>
    </row>
    <row r="2479" spans="1:3" ht="16.2" x14ac:dyDescent="0.35">
      <c r="A2479" s="20">
        <v>43314</v>
      </c>
      <c r="B2479" s="21">
        <v>4.5999999999999996</v>
      </c>
      <c r="C2479" s="238">
        <f t="shared" si="50"/>
        <v>43313</v>
      </c>
    </row>
    <row r="2480" spans="1:3" ht="16.2" x14ac:dyDescent="0.35">
      <c r="A2480" s="20">
        <v>43321</v>
      </c>
      <c r="B2480" s="21">
        <v>4.59</v>
      </c>
      <c r="C2480" s="238">
        <f t="shared" si="50"/>
        <v>43313</v>
      </c>
    </row>
    <row r="2481" spans="1:3" ht="16.2" x14ac:dyDescent="0.35">
      <c r="A2481" s="20">
        <v>43328</v>
      </c>
      <c r="B2481" s="21">
        <v>4.53</v>
      </c>
      <c r="C2481" s="238">
        <f t="shared" si="50"/>
        <v>43313</v>
      </c>
    </row>
    <row r="2482" spans="1:3" ht="16.2" x14ac:dyDescent="0.35">
      <c r="A2482" s="20">
        <v>43335</v>
      </c>
      <c r="B2482" s="21">
        <v>4.51</v>
      </c>
      <c r="C2482" s="238">
        <f t="shared" si="50"/>
        <v>43313</v>
      </c>
    </row>
    <row r="2483" spans="1:3" ht="16.2" x14ac:dyDescent="0.35">
      <c r="A2483" s="20">
        <v>43342</v>
      </c>
      <c r="B2483" s="21">
        <v>4.5199999999999996</v>
      </c>
      <c r="C2483" s="238">
        <f t="shared" si="50"/>
        <v>43313</v>
      </c>
    </row>
    <row r="2484" spans="1:3" ht="16.2" x14ac:dyDescent="0.35">
      <c r="A2484" s="20">
        <v>43349</v>
      </c>
      <c r="B2484" s="21">
        <v>4.54</v>
      </c>
      <c r="C2484" s="238">
        <f t="shared" si="50"/>
        <v>43344</v>
      </c>
    </row>
    <row r="2485" spans="1:3" ht="16.2" x14ac:dyDescent="0.35">
      <c r="A2485" s="20">
        <v>43356</v>
      </c>
      <c r="B2485" s="21">
        <v>4.5999999999999996</v>
      </c>
      <c r="C2485" s="238">
        <f t="shared" si="50"/>
        <v>43344</v>
      </c>
    </row>
    <row r="2486" spans="1:3" ht="16.2" x14ac:dyDescent="0.35">
      <c r="A2486" s="20">
        <v>43363</v>
      </c>
      <c r="B2486" s="21">
        <v>4.6500000000000004</v>
      </c>
      <c r="C2486" s="238">
        <f t="shared" si="50"/>
        <v>43344</v>
      </c>
    </row>
    <row r="2487" spans="1:3" ht="16.2" x14ac:dyDescent="0.35">
      <c r="A2487" s="20">
        <v>43370</v>
      </c>
      <c r="B2487" s="21">
        <v>4.72</v>
      </c>
      <c r="C2487" s="238">
        <f t="shared" si="50"/>
        <v>43344</v>
      </c>
    </row>
    <row r="2488" spans="1:3" ht="16.2" x14ac:dyDescent="0.35">
      <c r="A2488" s="20">
        <v>43377</v>
      </c>
      <c r="B2488" s="21">
        <v>4.71</v>
      </c>
      <c r="C2488" s="238">
        <f t="shared" si="50"/>
        <v>43374</v>
      </c>
    </row>
    <row r="2489" spans="1:3" ht="16.2" x14ac:dyDescent="0.35">
      <c r="A2489" s="20">
        <v>43384</v>
      </c>
      <c r="B2489" s="21">
        <v>4.9000000000000004</v>
      </c>
      <c r="C2489" s="238">
        <f t="shared" si="50"/>
        <v>43374</v>
      </c>
    </row>
    <row r="2490" spans="1:3" ht="16.2" x14ac:dyDescent="0.35">
      <c r="A2490" s="20">
        <v>43391</v>
      </c>
      <c r="B2490" s="21">
        <v>4.8499999999999996</v>
      </c>
      <c r="C2490" s="238">
        <f t="shared" si="50"/>
        <v>43374</v>
      </c>
    </row>
    <row r="2491" spans="1:3" ht="16.2" x14ac:dyDescent="0.35">
      <c r="A2491" s="20">
        <v>43398</v>
      </c>
      <c r="B2491" s="21">
        <v>4.8600000000000003</v>
      </c>
      <c r="C2491" s="238">
        <f t="shared" si="50"/>
        <v>43374</v>
      </c>
    </row>
    <row r="2492" spans="1:3" ht="16.2" x14ac:dyDescent="0.35">
      <c r="A2492" s="20">
        <v>43405</v>
      </c>
      <c r="B2492" s="21">
        <v>4.83</v>
      </c>
      <c r="C2492" s="238">
        <f t="shared" si="50"/>
        <v>43405</v>
      </c>
    </row>
    <row r="2493" spans="1:3" ht="16.2" x14ac:dyDescent="0.35">
      <c r="A2493" s="20">
        <v>43412</v>
      </c>
      <c r="B2493" s="21">
        <v>4.9400000000000004</v>
      </c>
      <c r="C2493" s="238">
        <f t="shared" si="50"/>
        <v>43405</v>
      </c>
    </row>
    <row r="2494" spans="1:3" ht="16.2" x14ac:dyDescent="0.35">
      <c r="A2494" s="20">
        <v>43419</v>
      </c>
      <c r="B2494" s="21">
        <v>4.9400000000000004</v>
      </c>
      <c r="C2494" s="238">
        <f t="shared" si="50"/>
        <v>43405</v>
      </c>
    </row>
    <row r="2495" spans="1:3" ht="16.2" x14ac:dyDescent="0.35">
      <c r="A2495" s="20">
        <v>43425</v>
      </c>
      <c r="B2495" s="21">
        <v>4.8099999999999996</v>
      </c>
      <c r="C2495" s="238">
        <f t="shared" si="50"/>
        <v>43405</v>
      </c>
    </row>
    <row r="2496" spans="1:3" ht="16.2" x14ac:dyDescent="0.35">
      <c r="A2496" s="20">
        <v>43433</v>
      </c>
      <c r="B2496" s="21">
        <v>4.8099999999999996</v>
      </c>
      <c r="C2496" s="238">
        <f t="shared" si="50"/>
        <v>43405</v>
      </c>
    </row>
    <row r="2497" spans="1:3" ht="16.2" x14ac:dyDescent="0.35">
      <c r="A2497" s="20">
        <v>43440</v>
      </c>
      <c r="B2497" s="21">
        <v>4.75</v>
      </c>
      <c r="C2497" s="238">
        <f t="shared" si="50"/>
        <v>43435</v>
      </c>
    </row>
    <row r="2498" spans="1:3" ht="16.2" x14ac:dyDescent="0.35">
      <c r="A2498" s="20">
        <v>43447</v>
      </c>
      <c r="B2498" s="21">
        <v>4.63</v>
      </c>
      <c r="C2498" s="238">
        <f t="shared" si="50"/>
        <v>43435</v>
      </c>
    </row>
    <row r="2499" spans="1:3" ht="16.2" x14ac:dyDescent="0.35">
      <c r="A2499" s="20">
        <v>43454</v>
      </c>
      <c r="B2499" s="21">
        <v>4.62</v>
      </c>
      <c r="C2499" s="238">
        <f t="shared" si="50"/>
        <v>43435</v>
      </c>
    </row>
    <row r="2500" spans="1:3" ht="16.2" x14ac:dyDescent="0.35">
      <c r="A2500" s="20">
        <v>43461</v>
      </c>
      <c r="B2500" s="21">
        <v>4.55</v>
      </c>
      <c r="C2500" s="238">
        <f t="shared" si="50"/>
        <v>43435</v>
      </c>
    </row>
    <row r="2501" spans="1:3" ht="16.2" x14ac:dyDescent="0.35">
      <c r="A2501" s="20">
        <v>43468</v>
      </c>
      <c r="B2501" s="21">
        <v>4.51</v>
      </c>
      <c r="C2501" s="238">
        <f t="shared" si="50"/>
        <v>43466</v>
      </c>
    </row>
    <row r="2502" spans="1:3" ht="16.2" x14ac:dyDescent="0.35">
      <c r="A2502" s="20">
        <v>43475</v>
      </c>
      <c r="B2502" s="21">
        <v>4.45</v>
      </c>
      <c r="C2502" s="238">
        <f t="shared" si="50"/>
        <v>43466</v>
      </c>
    </row>
    <row r="2503" spans="1:3" ht="16.2" x14ac:dyDescent="0.35">
      <c r="A2503" s="20">
        <v>43482</v>
      </c>
      <c r="B2503" s="21">
        <v>4.45</v>
      </c>
      <c r="C2503" s="238">
        <f t="shared" si="50"/>
        <v>43466</v>
      </c>
    </row>
    <row r="2504" spans="1:3" ht="16.2" x14ac:dyDescent="0.35">
      <c r="A2504" s="20">
        <v>43489</v>
      </c>
      <c r="B2504" s="21">
        <v>4.45</v>
      </c>
      <c r="C2504" s="238">
        <f t="shared" si="50"/>
        <v>43466</v>
      </c>
    </row>
    <row r="2505" spans="1:3" ht="16.2" x14ac:dyDescent="0.35">
      <c r="A2505" s="20">
        <v>43496</v>
      </c>
      <c r="B2505" s="21">
        <v>4.46</v>
      </c>
      <c r="C2505" s="238">
        <f t="shared" si="50"/>
        <v>43466</v>
      </c>
    </row>
    <row r="2506" spans="1:3" ht="16.2" x14ac:dyDescent="0.35">
      <c r="A2506" s="20">
        <v>43503</v>
      </c>
      <c r="B2506" s="21">
        <v>4.41</v>
      </c>
      <c r="C2506" s="238">
        <f t="shared" si="50"/>
        <v>43497</v>
      </c>
    </row>
    <row r="2507" spans="1:3" ht="16.2" x14ac:dyDescent="0.35">
      <c r="A2507" s="20">
        <v>43510</v>
      </c>
      <c r="B2507" s="21">
        <v>4.37</v>
      </c>
      <c r="C2507" s="238">
        <f t="shared" si="50"/>
        <v>43497</v>
      </c>
    </row>
    <row r="2508" spans="1:3" ht="16.2" x14ac:dyDescent="0.35">
      <c r="A2508" s="20">
        <v>43517</v>
      </c>
      <c r="B2508" s="21">
        <v>4.3499999999999996</v>
      </c>
      <c r="C2508" s="238">
        <f t="shared" si="50"/>
        <v>43497</v>
      </c>
    </row>
    <row r="2509" spans="1:3" ht="16.2" x14ac:dyDescent="0.35">
      <c r="A2509" s="20">
        <v>43524</v>
      </c>
      <c r="B2509" s="21">
        <v>4.3499999999999996</v>
      </c>
      <c r="C2509" s="238">
        <f t="shared" si="50"/>
        <v>43497</v>
      </c>
    </row>
    <row r="2510" spans="1:3" ht="16.2" x14ac:dyDescent="0.35">
      <c r="A2510" s="20">
        <v>43531</v>
      </c>
      <c r="B2510" s="21">
        <v>4.41</v>
      </c>
      <c r="C2510" s="238">
        <f t="shared" si="50"/>
        <v>43525</v>
      </c>
    </row>
    <row r="2511" spans="1:3" ht="16.2" x14ac:dyDescent="0.35">
      <c r="A2511" s="20">
        <v>43538</v>
      </c>
      <c r="B2511" s="21">
        <v>4.3099999999999996</v>
      </c>
      <c r="C2511" s="238">
        <f t="shared" si="50"/>
        <v>43525</v>
      </c>
    </row>
    <row r="2512" spans="1:3" ht="16.2" x14ac:dyDescent="0.35">
      <c r="A2512" s="20">
        <v>43545</v>
      </c>
      <c r="B2512" s="21">
        <v>4.28</v>
      </c>
      <c r="C2512" s="238">
        <f t="shared" ref="C2512:C2575" si="51">EOMONTH(A2512,-1)+1</f>
        <v>43525</v>
      </c>
    </row>
    <row r="2513" spans="1:3" ht="16.2" x14ac:dyDescent="0.35">
      <c r="A2513" s="20">
        <v>43552</v>
      </c>
      <c r="B2513" s="21">
        <v>4.0599999999999996</v>
      </c>
      <c r="C2513" s="238">
        <f t="shared" si="51"/>
        <v>43525</v>
      </c>
    </row>
    <row r="2514" spans="1:3" ht="16.2" x14ac:dyDescent="0.35">
      <c r="A2514" s="20">
        <v>43559</v>
      </c>
      <c r="B2514" s="21">
        <v>4.08</v>
      </c>
      <c r="C2514" s="238">
        <f t="shared" si="51"/>
        <v>43556</v>
      </c>
    </row>
    <row r="2515" spans="1:3" ht="16.2" x14ac:dyDescent="0.35">
      <c r="A2515" s="20">
        <v>43566</v>
      </c>
      <c r="B2515" s="21">
        <v>4.12</v>
      </c>
      <c r="C2515" s="238">
        <f t="shared" si="51"/>
        <v>43556</v>
      </c>
    </row>
    <row r="2516" spans="1:3" ht="16.2" x14ac:dyDescent="0.35">
      <c r="A2516" s="20">
        <v>43573</v>
      </c>
      <c r="B2516" s="21">
        <v>4.17</v>
      </c>
      <c r="C2516" s="238">
        <f t="shared" si="51"/>
        <v>43556</v>
      </c>
    </row>
    <row r="2517" spans="1:3" ht="16.2" x14ac:dyDescent="0.35">
      <c r="A2517" s="20">
        <v>43580</v>
      </c>
      <c r="B2517" s="21">
        <v>4.2</v>
      </c>
      <c r="C2517" s="238">
        <f t="shared" si="51"/>
        <v>43556</v>
      </c>
    </row>
    <row r="2518" spans="1:3" ht="16.2" x14ac:dyDescent="0.35">
      <c r="A2518" s="20">
        <v>43587</v>
      </c>
      <c r="B2518" s="21">
        <v>4.1399999999999997</v>
      </c>
      <c r="C2518" s="238">
        <f t="shared" si="51"/>
        <v>43586</v>
      </c>
    </row>
    <row r="2519" spans="1:3" ht="16.2" x14ac:dyDescent="0.35">
      <c r="A2519" s="20">
        <v>43594</v>
      </c>
      <c r="B2519" s="21">
        <v>4.0999999999999996</v>
      </c>
      <c r="C2519" s="238">
        <f t="shared" si="51"/>
        <v>43586</v>
      </c>
    </row>
    <row r="2520" spans="1:3" ht="16.2" x14ac:dyDescent="0.35">
      <c r="A2520" s="20">
        <v>43601</v>
      </c>
      <c r="B2520" s="21">
        <v>4.07</v>
      </c>
      <c r="C2520" s="238">
        <f t="shared" si="51"/>
        <v>43586</v>
      </c>
    </row>
    <row r="2521" spans="1:3" ht="16.2" x14ac:dyDescent="0.35">
      <c r="A2521" s="20">
        <v>43608</v>
      </c>
      <c r="B2521" s="21">
        <v>4.0599999999999996</v>
      </c>
      <c r="C2521" s="238">
        <f t="shared" si="51"/>
        <v>43586</v>
      </c>
    </row>
    <row r="2522" spans="1:3" ht="16.2" x14ac:dyDescent="0.35">
      <c r="A2522" s="20">
        <v>43615</v>
      </c>
      <c r="B2522" s="21">
        <v>3.99</v>
      </c>
      <c r="C2522" s="238">
        <f t="shared" si="51"/>
        <v>43586</v>
      </c>
    </row>
    <row r="2523" spans="1:3" ht="16.2" x14ac:dyDescent="0.35">
      <c r="A2523" s="20">
        <v>43622</v>
      </c>
      <c r="B2523" s="21">
        <v>3.82</v>
      </c>
      <c r="C2523" s="238">
        <f t="shared" si="51"/>
        <v>43617</v>
      </c>
    </row>
    <row r="2524" spans="1:3" ht="16.2" x14ac:dyDescent="0.35">
      <c r="A2524" s="20">
        <v>43629</v>
      </c>
      <c r="B2524" s="21">
        <v>3.82</v>
      </c>
      <c r="C2524" s="238">
        <f t="shared" si="51"/>
        <v>43617</v>
      </c>
    </row>
    <row r="2525" spans="1:3" ht="16.2" x14ac:dyDescent="0.35">
      <c r="A2525" s="20">
        <v>43636</v>
      </c>
      <c r="B2525" s="21">
        <v>3.84</v>
      </c>
      <c r="C2525" s="238">
        <f t="shared" si="51"/>
        <v>43617</v>
      </c>
    </row>
    <row r="2526" spans="1:3" ht="16.2" x14ac:dyDescent="0.35">
      <c r="A2526" s="20">
        <v>43643</v>
      </c>
      <c r="B2526" s="21">
        <v>3.73</v>
      </c>
      <c r="C2526" s="238">
        <f t="shared" si="51"/>
        <v>43617</v>
      </c>
    </row>
    <row r="2527" spans="1:3" ht="16.2" x14ac:dyDescent="0.35">
      <c r="A2527" s="20">
        <v>43649</v>
      </c>
      <c r="B2527" s="21">
        <v>3.75</v>
      </c>
      <c r="C2527" s="238">
        <f t="shared" si="51"/>
        <v>43647</v>
      </c>
    </row>
    <row r="2528" spans="1:3" ht="16.2" x14ac:dyDescent="0.35">
      <c r="A2528" s="20">
        <v>43657</v>
      </c>
      <c r="B2528" s="21">
        <v>3.75</v>
      </c>
      <c r="C2528" s="238">
        <f t="shared" si="51"/>
        <v>43647</v>
      </c>
    </row>
    <row r="2529" spans="1:3" ht="16.2" x14ac:dyDescent="0.35">
      <c r="A2529" s="20">
        <v>43664</v>
      </c>
      <c r="B2529" s="21">
        <v>3.81</v>
      </c>
      <c r="C2529" s="238">
        <f t="shared" si="51"/>
        <v>43647</v>
      </c>
    </row>
    <row r="2530" spans="1:3" ht="16.2" x14ac:dyDescent="0.35">
      <c r="A2530" s="20">
        <v>43671</v>
      </c>
      <c r="B2530" s="21">
        <v>3.75</v>
      </c>
      <c r="C2530" s="238">
        <f t="shared" si="51"/>
        <v>43647</v>
      </c>
    </row>
    <row r="2531" spans="1:3" ht="16.2" x14ac:dyDescent="0.35">
      <c r="A2531" s="20">
        <v>43678</v>
      </c>
      <c r="B2531" s="21">
        <v>3.75</v>
      </c>
      <c r="C2531" s="238">
        <f t="shared" si="51"/>
        <v>43678</v>
      </c>
    </row>
    <row r="2532" spans="1:3" ht="16.2" x14ac:dyDescent="0.35">
      <c r="A2532" s="20">
        <v>43685</v>
      </c>
      <c r="B2532" s="21">
        <v>3.6</v>
      </c>
      <c r="C2532" s="238">
        <f t="shared" si="51"/>
        <v>43678</v>
      </c>
    </row>
    <row r="2533" spans="1:3" ht="16.2" x14ac:dyDescent="0.35">
      <c r="A2533" s="20">
        <v>43692</v>
      </c>
      <c r="B2533" s="21">
        <v>3.6</v>
      </c>
      <c r="C2533" s="238">
        <f t="shared" si="51"/>
        <v>43678</v>
      </c>
    </row>
    <row r="2534" spans="1:3" ht="16.2" x14ac:dyDescent="0.35">
      <c r="A2534" s="20">
        <v>43699</v>
      </c>
      <c r="B2534" s="21">
        <v>3.55</v>
      </c>
      <c r="C2534" s="238">
        <f t="shared" si="51"/>
        <v>43678</v>
      </c>
    </row>
    <row r="2535" spans="1:3" ht="16.2" x14ac:dyDescent="0.35">
      <c r="A2535" s="20">
        <v>43706</v>
      </c>
      <c r="B2535" s="21">
        <v>3.58</v>
      </c>
      <c r="C2535" s="238">
        <f t="shared" si="51"/>
        <v>43678</v>
      </c>
    </row>
    <row r="2536" spans="1:3" ht="16.2" x14ac:dyDescent="0.35">
      <c r="A2536" s="20">
        <v>43713</v>
      </c>
      <c r="B2536" s="21">
        <v>3.49</v>
      </c>
      <c r="C2536" s="238">
        <f t="shared" si="51"/>
        <v>43709</v>
      </c>
    </row>
    <row r="2537" spans="1:3" ht="16.2" x14ac:dyDescent="0.35">
      <c r="A2537" s="20">
        <v>43720</v>
      </c>
      <c r="B2537" s="21">
        <v>3.56</v>
      </c>
      <c r="C2537" s="238">
        <f t="shared" si="51"/>
        <v>43709</v>
      </c>
    </row>
    <row r="2538" spans="1:3" ht="16.2" x14ac:dyDescent="0.35">
      <c r="A2538" s="20">
        <v>43727</v>
      </c>
      <c r="B2538" s="21">
        <v>3.73</v>
      </c>
      <c r="C2538" s="238">
        <f t="shared" si="51"/>
        <v>43709</v>
      </c>
    </row>
    <row r="2539" spans="1:3" ht="16.2" x14ac:dyDescent="0.35">
      <c r="A2539" s="20">
        <v>43734</v>
      </c>
      <c r="B2539" s="21">
        <v>3.64</v>
      </c>
      <c r="C2539" s="238">
        <f t="shared" si="51"/>
        <v>43709</v>
      </c>
    </row>
    <row r="2540" spans="1:3" ht="16.2" x14ac:dyDescent="0.35">
      <c r="A2540" s="20">
        <v>43741</v>
      </c>
      <c r="B2540" s="21">
        <v>3.65</v>
      </c>
      <c r="C2540" s="238">
        <f t="shared" si="51"/>
        <v>43739</v>
      </c>
    </row>
    <row r="2541" spans="1:3" ht="16.2" x14ac:dyDescent="0.35">
      <c r="A2541" s="20">
        <v>43748</v>
      </c>
      <c r="B2541" s="21">
        <v>3.57</v>
      </c>
      <c r="C2541" s="238">
        <f t="shared" si="51"/>
        <v>43739</v>
      </c>
    </row>
    <row r="2542" spans="1:3" ht="16.2" x14ac:dyDescent="0.35">
      <c r="A2542" s="20">
        <v>43755</v>
      </c>
      <c r="B2542" s="21">
        <v>3.69</v>
      </c>
      <c r="C2542" s="238">
        <f t="shared" si="51"/>
        <v>43739</v>
      </c>
    </row>
    <row r="2543" spans="1:3" ht="16.2" x14ac:dyDescent="0.35">
      <c r="A2543" s="20">
        <v>43762</v>
      </c>
      <c r="B2543" s="21">
        <v>3.75</v>
      </c>
      <c r="C2543" s="238">
        <f t="shared" si="51"/>
        <v>43739</v>
      </c>
    </row>
    <row r="2544" spans="1:3" ht="16.2" x14ac:dyDescent="0.35">
      <c r="A2544" s="20">
        <v>43769</v>
      </c>
      <c r="B2544" s="21">
        <v>3.78</v>
      </c>
      <c r="C2544" s="238">
        <f t="shared" si="51"/>
        <v>43739</v>
      </c>
    </row>
    <row r="2545" spans="1:3" ht="16.2" x14ac:dyDescent="0.35">
      <c r="A2545" s="20">
        <v>43776</v>
      </c>
      <c r="B2545" s="21">
        <v>3.69</v>
      </c>
      <c r="C2545" s="238">
        <f t="shared" si="51"/>
        <v>43770</v>
      </c>
    </row>
    <row r="2546" spans="1:3" ht="16.2" x14ac:dyDescent="0.35">
      <c r="A2546" s="20">
        <v>43783</v>
      </c>
      <c r="B2546" s="21">
        <v>3.75</v>
      </c>
      <c r="C2546" s="238">
        <f t="shared" si="51"/>
        <v>43770</v>
      </c>
    </row>
    <row r="2547" spans="1:3" ht="16.2" x14ac:dyDescent="0.35">
      <c r="A2547" s="20">
        <v>43790</v>
      </c>
      <c r="B2547" s="21">
        <v>3.66</v>
      </c>
      <c r="C2547" s="238">
        <f t="shared" si="51"/>
        <v>43770</v>
      </c>
    </row>
    <row r="2548" spans="1:3" ht="16.2" x14ac:dyDescent="0.35">
      <c r="A2548" s="20">
        <v>43796</v>
      </c>
      <c r="B2548" s="21">
        <v>3.68</v>
      </c>
      <c r="C2548" s="238">
        <f t="shared" si="51"/>
        <v>43770</v>
      </c>
    </row>
    <row r="2549" spans="1:3" ht="16.2" x14ac:dyDescent="0.35">
      <c r="A2549" s="20">
        <v>43804</v>
      </c>
      <c r="B2549" s="21">
        <v>3.68</v>
      </c>
      <c r="C2549" s="238">
        <f t="shared" si="51"/>
        <v>43800</v>
      </c>
    </row>
    <row r="2550" spans="1:3" ht="16.2" x14ac:dyDescent="0.35">
      <c r="A2550" s="20">
        <v>43811</v>
      </c>
      <c r="B2550" s="21">
        <v>3.73</v>
      </c>
      <c r="C2550" s="238">
        <f t="shared" si="51"/>
        <v>43800</v>
      </c>
    </row>
    <row r="2551" spans="1:3" ht="16.2" x14ac:dyDescent="0.35">
      <c r="A2551" s="20">
        <v>43818</v>
      </c>
      <c r="B2551" s="21">
        <v>3.73</v>
      </c>
      <c r="C2551" s="238">
        <f t="shared" si="51"/>
        <v>43800</v>
      </c>
    </row>
    <row r="2552" spans="1:3" ht="16.2" x14ac:dyDescent="0.35">
      <c r="A2552" s="20">
        <v>43825</v>
      </c>
      <c r="B2552" s="21">
        <v>3.74</v>
      </c>
      <c r="C2552" s="238">
        <f t="shared" si="51"/>
        <v>43800</v>
      </c>
    </row>
    <row r="2553" spans="1:3" ht="16.2" x14ac:dyDescent="0.35">
      <c r="A2553" s="20">
        <v>43832</v>
      </c>
      <c r="B2553" s="21">
        <v>3.72</v>
      </c>
      <c r="C2553" s="238">
        <f t="shared" si="51"/>
        <v>43831</v>
      </c>
    </row>
    <row r="2554" spans="1:3" ht="16.2" x14ac:dyDescent="0.35">
      <c r="A2554" s="20">
        <v>43839</v>
      </c>
      <c r="B2554" s="21">
        <v>3.64</v>
      </c>
      <c r="C2554" s="238">
        <f t="shared" si="51"/>
        <v>43831</v>
      </c>
    </row>
    <row r="2555" spans="1:3" ht="16.2" x14ac:dyDescent="0.35">
      <c r="A2555" s="20">
        <v>43846</v>
      </c>
      <c r="B2555" s="21">
        <v>3.65</v>
      </c>
      <c r="C2555" s="238">
        <f t="shared" si="51"/>
        <v>43831</v>
      </c>
    </row>
    <row r="2556" spans="1:3" ht="16.2" x14ac:dyDescent="0.35">
      <c r="A2556" s="20">
        <v>43853</v>
      </c>
      <c r="B2556" s="21">
        <v>3.6</v>
      </c>
      <c r="C2556" s="238">
        <f t="shared" si="51"/>
        <v>43831</v>
      </c>
    </row>
    <row r="2557" spans="1:3" ht="16.2" x14ac:dyDescent="0.35">
      <c r="A2557" s="20">
        <v>43860</v>
      </c>
      <c r="B2557" s="21">
        <v>3.51</v>
      </c>
      <c r="C2557" s="238">
        <f t="shared" si="51"/>
        <v>43831</v>
      </c>
    </row>
    <row r="2558" spans="1:3" ht="16.2" x14ac:dyDescent="0.35">
      <c r="A2558" s="20">
        <v>43867</v>
      </c>
      <c r="B2558" s="21">
        <v>3.45</v>
      </c>
      <c r="C2558" s="238">
        <f t="shared" si="51"/>
        <v>43862</v>
      </c>
    </row>
    <row r="2559" spans="1:3" ht="16.2" x14ac:dyDescent="0.35">
      <c r="A2559" s="20">
        <v>43874</v>
      </c>
      <c r="B2559" s="21">
        <v>3.47</v>
      </c>
      <c r="C2559" s="238">
        <f t="shared" si="51"/>
        <v>43862</v>
      </c>
    </row>
    <row r="2560" spans="1:3" ht="16.2" x14ac:dyDescent="0.35">
      <c r="A2560" s="20">
        <v>43881</v>
      </c>
      <c r="B2560" s="21">
        <v>3.49</v>
      </c>
      <c r="C2560" s="238">
        <f t="shared" si="51"/>
        <v>43862</v>
      </c>
    </row>
    <row r="2561" spans="1:3" ht="16.2" x14ac:dyDescent="0.35">
      <c r="A2561" s="20">
        <v>43888</v>
      </c>
      <c r="B2561" s="21">
        <v>3.45</v>
      </c>
      <c r="C2561" s="238">
        <f t="shared" si="51"/>
        <v>43862</v>
      </c>
    </row>
    <row r="2562" spans="1:3" ht="16.2" x14ac:dyDescent="0.35">
      <c r="A2562" s="20">
        <v>43895</v>
      </c>
      <c r="B2562" s="21">
        <v>3.29</v>
      </c>
      <c r="C2562" s="238">
        <f t="shared" si="51"/>
        <v>43891</v>
      </c>
    </row>
    <row r="2563" spans="1:3" ht="16.2" x14ac:dyDescent="0.35">
      <c r="A2563" s="20">
        <v>43902</v>
      </c>
      <c r="B2563" s="21">
        <v>3.36</v>
      </c>
      <c r="C2563" s="238">
        <f t="shared" si="51"/>
        <v>43891</v>
      </c>
    </row>
    <row r="2564" spans="1:3" ht="16.2" x14ac:dyDescent="0.35">
      <c r="A2564" s="20">
        <v>43909</v>
      </c>
      <c r="B2564" s="21">
        <v>3.65</v>
      </c>
      <c r="C2564" s="238">
        <f t="shared" si="51"/>
        <v>43891</v>
      </c>
    </row>
    <row r="2565" spans="1:3" ht="16.2" x14ac:dyDescent="0.35">
      <c r="A2565" s="20">
        <v>43916</v>
      </c>
      <c r="B2565" s="21">
        <v>3.5</v>
      </c>
      <c r="C2565" s="238">
        <f t="shared" si="51"/>
        <v>43891</v>
      </c>
    </row>
    <row r="2566" spans="1:3" ht="16.2" x14ac:dyDescent="0.35">
      <c r="A2566" s="20">
        <v>43923</v>
      </c>
      <c r="B2566" s="21">
        <v>3.33</v>
      </c>
      <c r="C2566" s="238">
        <f t="shared" si="51"/>
        <v>43922</v>
      </c>
    </row>
    <row r="2567" spans="1:3" ht="16.2" x14ac:dyDescent="0.35">
      <c r="A2567" s="20">
        <v>43930</v>
      </c>
      <c r="B2567" s="21">
        <v>3.33</v>
      </c>
      <c r="C2567" s="238">
        <f t="shared" si="51"/>
        <v>43922</v>
      </c>
    </row>
    <row r="2568" spans="1:3" ht="16.2" x14ac:dyDescent="0.35">
      <c r="A2568" s="20">
        <v>43937</v>
      </c>
      <c r="B2568" s="21">
        <v>3.31</v>
      </c>
      <c r="C2568" s="238">
        <f t="shared" si="51"/>
        <v>43922</v>
      </c>
    </row>
    <row r="2569" spans="1:3" ht="16.2" x14ac:dyDescent="0.35">
      <c r="A2569" s="20">
        <v>43944</v>
      </c>
      <c r="B2569" s="21">
        <v>3.33</v>
      </c>
      <c r="C2569" s="238">
        <f t="shared" si="51"/>
        <v>43922</v>
      </c>
    </row>
    <row r="2570" spans="1:3" ht="16.2" x14ac:dyDescent="0.35">
      <c r="A2570" s="20">
        <v>43951</v>
      </c>
      <c r="B2570" s="21">
        <v>3.23</v>
      </c>
      <c r="C2570" s="238">
        <f t="shared" si="51"/>
        <v>43922</v>
      </c>
    </row>
    <row r="2571" spans="1:3" ht="16.2" x14ac:dyDescent="0.35">
      <c r="A2571" s="20">
        <v>43958</v>
      </c>
      <c r="B2571" s="21">
        <v>3.26</v>
      </c>
      <c r="C2571" s="238">
        <f t="shared" si="51"/>
        <v>43952</v>
      </c>
    </row>
    <row r="2572" spans="1:3" ht="16.2" x14ac:dyDescent="0.35">
      <c r="A2572" s="20">
        <v>43965</v>
      </c>
      <c r="B2572" s="21">
        <v>3.28</v>
      </c>
      <c r="C2572" s="238">
        <f t="shared" si="51"/>
        <v>43952</v>
      </c>
    </row>
    <row r="2573" spans="1:3" ht="16.2" x14ac:dyDescent="0.35">
      <c r="A2573" s="20">
        <v>43972</v>
      </c>
      <c r="B2573" s="21">
        <v>3.24</v>
      </c>
      <c r="C2573" s="238">
        <f t="shared" si="51"/>
        <v>43952</v>
      </c>
    </row>
    <row r="2574" spans="1:3" ht="16.2" x14ac:dyDescent="0.35">
      <c r="A2574" s="20">
        <v>43979</v>
      </c>
      <c r="B2574" s="21">
        <v>3.15</v>
      </c>
      <c r="C2574" s="238">
        <f t="shared" si="51"/>
        <v>43952</v>
      </c>
    </row>
    <row r="2575" spans="1:3" ht="16.2" x14ac:dyDescent="0.35">
      <c r="A2575" s="20">
        <v>43986</v>
      </c>
      <c r="B2575" s="21">
        <v>3.18</v>
      </c>
      <c r="C2575" s="238">
        <f t="shared" si="51"/>
        <v>43983</v>
      </c>
    </row>
    <row r="2576" spans="1:3" ht="16.2" x14ac:dyDescent="0.35">
      <c r="A2576" s="20">
        <v>43993</v>
      </c>
      <c r="B2576" s="21">
        <v>3.21</v>
      </c>
      <c r="C2576" s="238">
        <f t="shared" ref="C2576:C2639" si="52">EOMONTH(A2576,-1)+1</f>
        <v>43983</v>
      </c>
    </row>
    <row r="2577" spans="1:3" ht="16.2" x14ac:dyDescent="0.35">
      <c r="A2577" s="20">
        <v>44000</v>
      </c>
      <c r="B2577" s="21">
        <v>3.13</v>
      </c>
      <c r="C2577" s="238">
        <f t="shared" si="52"/>
        <v>43983</v>
      </c>
    </row>
    <row r="2578" spans="1:3" ht="16.2" x14ac:dyDescent="0.35">
      <c r="A2578" s="20">
        <v>44007</v>
      </c>
      <c r="B2578" s="21">
        <v>3.13</v>
      </c>
      <c r="C2578" s="238">
        <f t="shared" si="52"/>
        <v>43983</v>
      </c>
    </row>
    <row r="2579" spans="1:3" ht="16.2" x14ac:dyDescent="0.35">
      <c r="A2579" s="20">
        <v>44014</v>
      </c>
      <c r="B2579" s="21">
        <v>3.07</v>
      </c>
      <c r="C2579" s="238">
        <f t="shared" si="52"/>
        <v>44013</v>
      </c>
    </row>
    <row r="2580" spans="1:3" ht="16.2" x14ac:dyDescent="0.35">
      <c r="A2580" s="20">
        <v>44021</v>
      </c>
      <c r="B2580" s="21">
        <v>3.03</v>
      </c>
      <c r="C2580" s="238">
        <f t="shared" si="52"/>
        <v>44013</v>
      </c>
    </row>
    <row r="2581" spans="1:3" ht="16.2" x14ac:dyDescent="0.35">
      <c r="A2581" s="20">
        <v>44028</v>
      </c>
      <c r="B2581" s="21">
        <v>2.98</v>
      </c>
      <c r="C2581" s="238">
        <f t="shared" si="52"/>
        <v>44013</v>
      </c>
    </row>
    <row r="2582" spans="1:3" ht="16.2" x14ac:dyDescent="0.35">
      <c r="A2582" s="20">
        <v>44035</v>
      </c>
      <c r="B2582" s="21">
        <v>3.01</v>
      </c>
      <c r="C2582" s="238">
        <f t="shared" si="52"/>
        <v>44013</v>
      </c>
    </row>
    <row r="2583" spans="1:3" ht="16.2" x14ac:dyDescent="0.35">
      <c r="A2583" s="20">
        <v>44042</v>
      </c>
      <c r="B2583" s="21">
        <v>2.99</v>
      </c>
      <c r="C2583" s="238">
        <f t="shared" si="52"/>
        <v>44013</v>
      </c>
    </row>
    <row r="2584" spans="1:3" ht="16.2" x14ac:dyDescent="0.35">
      <c r="A2584" s="20">
        <v>44049</v>
      </c>
      <c r="B2584" s="21">
        <v>2.88</v>
      </c>
      <c r="C2584" s="238">
        <f t="shared" si="52"/>
        <v>44044</v>
      </c>
    </row>
    <row r="2585" spans="1:3" ht="16.2" x14ac:dyDescent="0.35">
      <c r="A2585" s="20">
        <v>44056</v>
      </c>
      <c r="B2585" s="21">
        <v>2.96</v>
      </c>
      <c r="C2585" s="238">
        <f t="shared" si="52"/>
        <v>44044</v>
      </c>
    </row>
    <row r="2586" spans="1:3" ht="16.2" x14ac:dyDescent="0.35">
      <c r="A2586" s="20">
        <v>44063</v>
      </c>
      <c r="B2586" s="21">
        <v>2.99</v>
      </c>
      <c r="C2586" s="238">
        <f t="shared" si="52"/>
        <v>44044</v>
      </c>
    </row>
    <row r="2587" spans="1:3" ht="16.2" x14ac:dyDescent="0.35">
      <c r="A2587" s="20">
        <v>44070</v>
      </c>
      <c r="B2587" s="21">
        <v>2.91</v>
      </c>
      <c r="C2587" s="238">
        <f t="shared" si="52"/>
        <v>44044</v>
      </c>
    </row>
    <row r="2588" spans="1:3" ht="16.2" x14ac:dyDescent="0.35">
      <c r="A2588" s="20">
        <v>44077</v>
      </c>
      <c r="B2588" s="21">
        <v>2.93</v>
      </c>
      <c r="C2588" s="238">
        <f t="shared" si="52"/>
        <v>44075</v>
      </c>
    </row>
    <row r="2589" spans="1:3" ht="16.2" x14ac:dyDescent="0.35">
      <c r="A2589" s="20">
        <v>44084</v>
      </c>
      <c r="B2589" s="21">
        <v>2.86</v>
      </c>
      <c r="C2589" s="238">
        <f t="shared" si="52"/>
        <v>44075</v>
      </c>
    </row>
    <row r="2590" spans="1:3" ht="16.2" x14ac:dyDescent="0.35">
      <c r="A2590" s="20">
        <v>44091</v>
      </c>
      <c r="B2590" s="21">
        <v>2.87</v>
      </c>
      <c r="C2590" s="238">
        <f t="shared" si="52"/>
        <v>44075</v>
      </c>
    </row>
    <row r="2591" spans="1:3" ht="16.2" x14ac:dyDescent="0.35">
      <c r="A2591" s="20">
        <v>44098</v>
      </c>
      <c r="B2591" s="21">
        <v>2.9</v>
      </c>
      <c r="C2591" s="238">
        <f t="shared" si="52"/>
        <v>44075</v>
      </c>
    </row>
    <row r="2592" spans="1:3" ht="16.2" x14ac:dyDescent="0.35">
      <c r="A2592" s="20">
        <v>44105</v>
      </c>
      <c r="B2592" s="21">
        <v>2.88</v>
      </c>
      <c r="C2592" s="238">
        <f t="shared" si="52"/>
        <v>44105</v>
      </c>
    </row>
    <row r="2593" spans="1:3" ht="16.2" x14ac:dyDescent="0.35">
      <c r="A2593" s="20">
        <v>44112</v>
      </c>
      <c r="B2593" s="21">
        <v>2.87</v>
      </c>
      <c r="C2593" s="238">
        <f t="shared" si="52"/>
        <v>44105</v>
      </c>
    </row>
    <row r="2594" spans="1:3" ht="16.2" x14ac:dyDescent="0.35">
      <c r="A2594" s="20">
        <v>44119</v>
      </c>
      <c r="B2594" s="21">
        <v>2.81</v>
      </c>
      <c r="C2594" s="238">
        <f t="shared" si="52"/>
        <v>44105</v>
      </c>
    </row>
    <row r="2595" spans="1:3" ht="16.2" x14ac:dyDescent="0.35">
      <c r="A2595" s="20">
        <v>44126</v>
      </c>
      <c r="B2595" s="21">
        <v>2.8</v>
      </c>
      <c r="C2595" s="238">
        <f t="shared" si="52"/>
        <v>44105</v>
      </c>
    </row>
    <row r="2596" spans="1:3" ht="16.2" x14ac:dyDescent="0.35">
      <c r="A2596" s="20">
        <v>44133</v>
      </c>
      <c r="B2596" s="21">
        <v>2.81</v>
      </c>
      <c r="C2596" s="238">
        <f t="shared" si="52"/>
        <v>44105</v>
      </c>
    </row>
    <row r="2597" spans="1:3" ht="16.2" x14ac:dyDescent="0.35">
      <c r="A2597" s="20">
        <v>44140</v>
      </c>
      <c r="B2597" s="21">
        <v>2.78</v>
      </c>
      <c r="C2597" s="238">
        <f t="shared" si="52"/>
        <v>44136</v>
      </c>
    </row>
    <row r="2598" spans="1:3" ht="16.2" x14ac:dyDescent="0.35">
      <c r="A2598" s="20">
        <v>44147</v>
      </c>
      <c r="B2598" s="21">
        <v>2.84</v>
      </c>
      <c r="C2598" s="238">
        <f t="shared" si="52"/>
        <v>44136</v>
      </c>
    </row>
    <row r="2599" spans="1:3" ht="16.2" x14ac:dyDescent="0.35">
      <c r="A2599" s="20">
        <v>44154</v>
      </c>
      <c r="B2599" s="21">
        <v>2.72</v>
      </c>
      <c r="C2599" s="238">
        <f t="shared" si="52"/>
        <v>44136</v>
      </c>
    </row>
    <row r="2600" spans="1:3" ht="16.2" x14ac:dyDescent="0.35">
      <c r="A2600" s="20">
        <v>44160</v>
      </c>
      <c r="B2600" s="21">
        <v>2.72</v>
      </c>
      <c r="C2600" s="238">
        <f t="shared" si="52"/>
        <v>44136</v>
      </c>
    </row>
    <row r="2601" spans="1:3" ht="16.2" x14ac:dyDescent="0.35">
      <c r="A2601" s="20">
        <v>44168</v>
      </c>
      <c r="B2601" s="21">
        <v>2.71</v>
      </c>
      <c r="C2601" s="238">
        <f t="shared" si="52"/>
        <v>44166</v>
      </c>
    </row>
    <row r="2602" spans="1:3" ht="16.2" x14ac:dyDescent="0.35">
      <c r="A2602" s="20">
        <v>44175</v>
      </c>
      <c r="B2602" s="21">
        <v>2.71</v>
      </c>
      <c r="C2602" s="238">
        <f t="shared" si="52"/>
        <v>44166</v>
      </c>
    </row>
    <row r="2603" spans="1:3" ht="16.2" x14ac:dyDescent="0.35">
      <c r="A2603" s="20">
        <v>44182</v>
      </c>
      <c r="B2603" s="21">
        <v>2.67</v>
      </c>
      <c r="C2603" s="238">
        <f t="shared" si="52"/>
        <v>44166</v>
      </c>
    </row>
    <row r="2604" spans="1:3" ht="16.2" x14ac:dyDescent="0.35">
      <c r="A2604" s="20">
        <v>44189</v>
      </c>
      <c r="B2604" s="21">
        <v>2.66</v>
      </c>
      <c r="C2604" s="238">
        <f t="shared" si="52"/>
        <v>44166</v>
      </c>
    </row>
    <row r="2605" spans="1:3" ht="16.2" x14ac:dyDescent="0.35">
      <c r="A2605" s="20">
        <v>44196</v>
      </c>
      <c r="B2605" s="21">
        <v>2.67</v>
      </c>
      <c r="C2605" s="238">
        <f t="shared" si="52"/>
        <v>44166</v>
      </c>
    </row>
    <row r="2606" spans="1:3" ht="16.2" x14ac:dyDescent="0.35">
      <c r="A2606" s="20">
        <v>44203</v>
      </c>
      <c r="B2606" s="21">
        <v>2.65</v>
      </c>
      <c r="C2606" s="238">
        <f t="shared" si="52"/>
        <v>44197</v>
      </c>
    </row>
    <row r="2607" spans="1:3" ht="16.2" x14ac:dyDescent="0.35">
      <c r="A2607" s="20">
        <v>44210</v>
      </c>
      <c r="B2607" s="21">
        <v>2.79</v>
      </c>
      <c r="C2607" s="238">
        <f t="shared" si="52"/>
        <v>44197</v>
      </c>
    </row>
    <row r="2608" spans="1:3" ht="16.2" x14ac:dyDescent="0.35">
      <c r="A2608" s="20">
        <v>44217</v>
      </c>
      <c r="B2608" s="21">
        <v>2.77</v>
      </c>
      <c r="C2608" s="238">
        <f t="shared" si="52"/>
        <v>44197</v>
      </c>
    </row>
    <row r="2609" spans="1:3" ht="16.2" x14ac:dyDescent="0.35">
      <c r="A2609" s="20">
        <v>44224</v>
      </c>
      <c r="B2609" s="21">
        <v>2.73</v>
      </c>
      <c r="C2609" s="238">
        <f t="shared" si="52"/>
        <v>44197</v>
      </c>
    </row>
    <row r="2610" spans="1:3" ht="16.2" x14ac:dyDescent="0.35">
      <c r="A2610" s="20">
        <v>44231</v>
      </c>
      <c r="B2610" s="21">
        <v>2.73</v>
      </c>
      <c r="C2610" s="238">
        <f t="shared" si="52"/>
        <v>44228</v>
      </c>
    </row>
    <row r="2611" spans="1:3" ht="16.2" x14ac:dyDescent="0.35">
      <c r="A2611" s="20">
        <v>44238</v>
      </c>
      <c r="B2611" s="21">
        <v>2.73</v>
      </c>
      <c r="C2611" s="238">
        <f t="shared" si="52"/>
        <v>44228</v>
      </c>
    </row>
    <row r="2612" spans="1:3" ht="16.2" x14ac:dyDescent="0.35">
      <c r="A2612" s="20">
        <v>44245</v>
      </c>
      <c r="B2612" s="21">
        <v>2.81</v>
      </c>
      <c r="C2612" s="238">
        <f t="shared" si="52"/>
        <v>44228</v>
      </c>
    </row>
    <row r="2613" spans="1:3" ht="16.2" x14ac:dyDescent="0.35">
      <c r="A2613" s="20">
        <v>44252</v>
      </c>
      <c r="B2613" s="21">
        <v>2.97</v>
      </c>
      <c r="C2613" s="238">
        <f t="shared" si="52"/>
        <v>44228</v>
      </c>
    </row>
    <row r="2614" spans="1:3" ht="16.2" x14ac:dyDescent="0.35">
      <c r="A2614" s="20">
        <v>44259</v>
      </c>
      <c r="B2614" s="21">
        <v>3.02</v>
      </c>
      <c r="C2614" s="238">
        <f t="shared" si="52"/>
        <v>44256</v>
      </c>
    </row>
    <row r="2615" spans="1:3" ht="16.2" x14ac:dyDescent="0.35">
      <c r="A2615" s="20">
        <v>44266</v>
      </c>
      <c r="B2615" s="21">
        <v>3.05</v>
      </c>
      <c r="C2615" s="238">
        <f t="shared" si="52"/>
        <v>44256</v>
      </c>
    </row>
    <row r="2616" spans="1:3" ht="16.2" x14ac:dyDescent="0.35">
      <c r="A2616" s="20">
        <v>44273</v>
      </c>
      <c r="B2616" s="21">
        <v>3.09</v>
      </c>
      <c r="C2616" s="238">
        <f t="shared" si="52"/>
        <v>44256</v>
      </c>
    </row>
    <row r="2617" spans="1:3" ht="16.2" x14ac:dyDescent="0.35">
      <c r="A2617" s="20">
        <v>44280</v>
      </c>
      <c r="B2617" s="21">
        <v>3.17</v>
      </c>
      <c r="C2617" s="238">
        <f t="shared" si="52"/>
        <v>44256</v>
      </c>
    </row>
    <row r="2618" spans="1:3" ht="16.2" x14ac:dyDescent="0.35">
      <c r="A2618" s="20">
        <v>44287</v>
      </c>
      <c r="B2618" s="21">
        <v>3.18</v>
      </c>
      <c r="C2618" s="238">
        <f t="shared" si="52"/>
        <v>44287</v>
      </c>
    </row>
    <row r="2619" spans="1:3" ht="16.2" x14ac:dyDescent="0.35">
      <c r="A2619" s="20">
        <v>44294</v>
      </c>
      <c r="B2619" s="21">
        <v>3.13</v>
      </c>
      <c r="C2619" s="238">
        <f t="shared" si="52"/>
        <v>44287</v>
      </c>
    </row>
    <row r="2620" spans="1:3" ht="16.2" x14ac:dyDescent="0.35">
      <c r="A2620" s="20">
        <v>44301</v>
      </c>
      <c r="B2620" s="21">
        <v>3.04</v>
      </c>
      <c r="C2620" s="238">
        <f t="shared" si="52"/>
        <v>44287</v>
      </c>
    </row>
    <row r="2621" spans="1:3" ht="16.2" x14ac:dyDescent="0.35">
      <c r="A2621" s="20">
        <v>44308</v>
      </c>
      <c r="B2621" s="21">
        <v>2.97</v>
      </c>
      <c r="C2621" s="238">
        <f t="shared" si="52"/>
        <v>44287</v>
      </c>
    </row>
    <row r="2622" spans="1:3" ht="16.2" x14ac:dyDescent="0.35">
      <c r="A2622" s="20">
        <v>44315</v>
      </c>
      <c r="B2622" s="21">
        <v>2.98</v>
      </c>
      <c r="C2622" s="238">
        <f t="shared" si="52"/>
        <v>44287</v>
      </c>
    </row>
    <row r="2623" spans="1:3" ht="16.2" x14ac:dyDescent="0.35">
      <c r="A2623" s="20">
        <v>44322</v>
      </c>
      <c r="B2623" s="21">
        <v>2.96</v>
      </c>
      <c r="C2623" s="238">
        <f t="shared" si="52"/>
        <v>44317</v>
      </c>
    </row>
    <row r="2624" spans="1:3" ht="16.2" x14ac:dyDescent="0.35">
      <c r="A2624" s="20">
        <v>44329</v>
      </c>
      <c r="B2624" s="21">
        <v>2.94</v>
      </c>
      <c r="C2624" s="238">
        <f t="shared" si="52"/>
        <v>44317</v>
      </c>
    </row>
    <row r="2625" spans="1:3" ht="16.2" x14ac:dyDescent="0.35">
      <c r="A2625" s="20">
        <v>44336</v>
      </c>
      <c r="B2625" s="21">
        <v>3</v>
      </c>
      <c r="C2625" s="238">
        <f t="shared" si="52"/>
        <v>44317</v>
      </c>
    </row>
    <row r="2626" spans="1:3" ht="16.2" x14ac:dyDescent="0.35">
      <c r="A2626" s="20">
        <v>44343</v>
      </c>
      <c r="B2626" s="21">
        <v>2.95</v>
      </c>
      <c r="C2626" s="238">
        <f t="shared" si="52"/>
        <v>44317</v>
      </c>
    </row>
    <row r="2627" spans="1:3" ht="16.2" x14ac:dyDescent="0.35">
      <c r="A2627" s="20">
        <v>44350</v>
      </c>
      <c r="B2627" s="21">
        <v>2.99</v>
      </c>
      <c r="C2627" s="238">
        <f t="shared" si="52"/>
        <v>44348</v>
      </c>
    </row>
    <row r="2628" spans="1:3" ht="16.2" x14ac:dyDescent="0.35">
      <c r="A2628" s="20">
        <v>44357</v>
      </c>
      <c r="B2628" s="21">
        <v>2.96</v>
      </c>
      <c r="C2628" s="238">
        <f t="shared" si="52"/>
        <v>44348</v>
      </c>
    </row>
    <row r="2629" spans="1:3" ht="16.2" x14ac:dyDescent="0.35">
      <c r="A2629" s="20">
        <v>44364</v>
      </c>
      <c r="B2629" s="21">
        <v>2.93</v>
      </c>
      <c r="C2629" s="238">
        <f t="shared" si="52"/>
        <v>44348</v>
      </c>
    </row>
    <row r="2630" spans="1:3" ht="16.2" x14ac:dyDescent="0.35">
      <c r="A2630" s="20">
        <v>44371</v>
      </c>
      <c r="B2630" s="21">
        <v>3.02</v>
      </c>
      <c r="C2630" s="238">
        <f t="shared" si="52"/>
        <v>44348</v>
      </c>
    </row>
    <row r="2631" spans="1:3" ht="16.2" x14ac:dyDescent="0.35">
      <c r="A2631" s="20">
        <v>44378</v>
      </c>
      <c r="B2631" s="21">
        <v>2.98</v>
      </c>
      <c r="C2631" s="238">
        <f t="shared" si="52"/>
        <v>44378</v>
      </c>
    </row>
    <row r="2632" spans="1:3" ht="16.2" x14ac:dyDescent="0.35">
      <c r="A2632" s="20">
        <v>44385</v>
      </c>
      <c r="B2632" s="21">
        <v>2.9</v>
      </c>
      <c r="C2632" s="238">
        <f t="shared" si="52"/>
        <v>44378</v>
      </c>
    </row>
    <row r="2633" spans="1:3" ht="16.2" x14ac:dyDescent="0.35">
      <c r="A2633" s="20">
        <v>44392</v>
      </c>
      <c r="B2633" s="21">
        <v>2.88</v>
      </c>
      <c r="C2633" s="238">
        <f t="shared" si="52"/>
        <v>44378</v>
      </c>
    </row>
    <row r="2634" spans="1:3" ht="16.2" x14ac:dyDescent="0.35">
      <c r="A2634" s="20">
        <v>44399</v>
      </c>
      <c r="B2634" s="21">
        <v>2.78</v>
      </c>
      <c r="C2634" s="238">
        <f t="shared" si="52"/>
        <v>44378</v>
      </c>
    </row>
    <row r="2635" spans="1:3" ht="16.2" x14ac:dyDescent="0.35">
      <c r="A2635" s="20">
        <v>44406</v>
      </c>
      <c r="B2635" s="21">
        <v>2.8</v>
      </c>
      <c r="C2635" s="238">
        <f t="shared" si="52"/>
        <v>44378</v>
      </c>
    </row>
    <row r="2636" spans="1:3" ht="16.2" x14ac:dyDescent="0.35">
      <c r="A2636" s="20">
        <v>44413</v>
      </c>
      <c r="B2636" s="21">
        <v>2.77</v>
      </c>
      <c r="C2636" s="238">
        <f t="shared" si="52"/>
        <v>44409</v>
      </c>
    </row>
    <row r="2637" spans="1:3" ht="16.2" x14ac:dyDescent="0.35">
      <c r="A2637" s="20">
        <v>44420</v>
      </c>
      <c r="B2637" s="21">
        <v>2.87</v>
      </c>
      <c r="C2637" s="238">
        <f t="shared" si="52"/>
        <v>44409</v>
      </c>
    </row>
    <row r="2638" spans="1:3" ht="16.2" x14ac:dyDescent="0.35">
      <c r="A2638" s="20">
        <v>44427</v>
      </c>
      <c r="B2638" s="21">
        <v>2.86</v>
      </c>
      <c r="C2638" s="238">
        <f t="shared" si="52"/>
        <v>44409</v>
      </c>
    </row>
    <row r="2639" spans="1:3" ht="16.2" x14ac:dyDescent="0.35">
      <c r="A2639" s="20">
        <v>44434</v>
      </c>
      <c r="B2639" s="21">
        <v>2.87</v>
      </c>
      <c r="C2639" s="238">
        <f t="shared" si="52"/>
        <v>44409</v>
      </c>
    </row>
    <row r="2640" spans="1:3" ht="16.2" x14ac:dyDescent="0.35">
      <c r="A2640" s="20">
        <v>44441</v>
      </c>
      <c r="B2640" s="21">
        <v>2.87</v>
      </c>
      <c r="C2640" s="238">
        <f t="shared" ref="C2640:C2703" si="53">EOMONTH(A2640,-1)+1</f>
        <v>44440</v>
      </c>
    </row>
    <row r="2641" spans="1:3" ht="16.2" x14ac:dyDescent="0.35">
      <c r="A2641" s="20">
        <v>44448</v>
      </c>
      <c r="B2641" s="21">
        <v>2.88</v>
      </c>
      <c r="C2641" s="238">
        <f t="shared" si="53"/>
        <v>44440</v>
      </c>
    </row>
    <row r="2642" spans="1:3" ht="16.2" x14ac:dyDescent="0.35">
      <c r="A2642" s="20">
        <v>44455</v>
      </c>
      <c r="B2642" s="21">
        <v>2.86</v>
      </c>
      <c r="C2642" s="238">
        <f t="shared" si="53"/>
        <v>44440</v>
      </c>
    </row>
    <row r="2643" spans="1:3" ht="16.2" x14ac:dyDescent="0.35">
      <c r="A2643" s="20">
        <v>44462</v>
      </c>
      <c r="B2643" s="21">
        <v>2.88</v>
      </c>
      <c r="C2643" s="238">
        <f t="shared" si="53"/>
        <v>44440</v>
      </c>
    </row>
    <row r="2644" spans="1:3" ht="16.2" x14ac:dyDescent="0.35">
      <c r="A2644" s="20">
        <v>44469</v>
      </c>
      <c r="B2644" s="21">
        <v>3.01</v>
      </c>
      <c r="C2644" s="238">
        <f t="shared" si="53"/>
        <v>44440</v>
      </c>
    </row>
    <row r="2645" spans="1:3" ht="16.2" x14ac:dyDescent="0.35">
      <c r="A2645" s="20">
        <v>44476</v>
      </c>
      <c r="B2645" s="21">
        <v>2.99</v>
      </c>
      <c r="C2645" s="238">
        <f t="shared" si="53"/>
        <v>44470</v>
      </c>
    </row>
    <row r="2646" spans="1:3" ht="16.2" x14ac:dyDescent="0.35">
      <c r="A2646" s="20">
        <v>44483</v>
      </c>
      <c r="B2646" s="21">
        <v>3.05</v>
      </c>
      <c r="C2646" s="238">
        <f t="shared" si="53"/>
        <v>44470</v>
      </c>
    </row>
    <row r="2647" spans="1:3" ht="16.2" x14ac:dyDescent="0.35">
      <c r="A2647" s="20">
        <v>44490</v>
      </c>
      <c r="B2647" s="21">
        <v>3.09</v>
      </c>
      <c r="C2647" s="238">
        <f t="shared" si="53"/>
        <v>44470</v>
      </c>
    </row>
    <row r="2648" spans="1:3" ht="16.2" x14ac:dyDescent="0.35">
      <c r="A2648" s="20">
        <v>44497</v>
      </c>
      <c r="B2648" s="21">
        <v>3.14</v>
      </c>
      <c r="C2648" s="238">
        <f t="shared" si="53"/>
        <v>44470</v>
      </c>
    </row>
    <row r="2649" spans="1:3" ht="16.2" x14ac:dyDescent="0.35">
      <c r="A2649" s="20">
        <v>44504</v>
      </c>
      <c r="B2649" s="21">
        <v>3.09</v>
      </c>
      <c r="C2649" s="238">
        <f t="shared" si="53"/>
        <v>44501</v>
      </c>
    </row>
    <row r="2650" spans="1:3" ht="16.2" x14ac:dyDescent="0.35">
      <c r="A2650" s="20">
        <v>44510</v>
      </c>
      <c r="B2650" s="21">
        <v>2.98</v>
      </c>
      <c r="C2650" s="238">
        <f t="shared" si="53"/>
        <v>44501</v>
      </c>
    </row>
    <row r="2651" spans="1:3" ht="16.2" x14ac:dyDescent="0.35">
      <c r="A2651" s="20">
        <v>44518</v>
      </c>
      <c r="B2651" s="21">
        <v>3.1</v>
      </c>
      <c r="C2651" s="238">
        <f t="shared" si="53"/>
        <v>44501</v>
      </c>
    </row>
    <row r="2652" spans="1:3" ht="16.2" x14ac:dyDescent="0.35">
      <c r="A2652" s="20">
        <v>44524</v>
      </c>
      <c r="B2652" s="21">
        <v>3.1</v>
      </c>
      <c r="C2652" s="238">
        <f t="shared" si="53"/>
        <v>44501</v>
      </c>
    </row>
    <row r="2653" spans="1:3" ht="16.2" x14ac:dyDescent="0.35">
      <c r="A2653" s="20">
        <v>44532</v>
      </c>
      <c r="B2653" s="21">
        <v>3.11</v>
      </c>
      <c r="C2653" s="238">
        <f t="shared" si="53"/>
        <v>44531</v>
      </c>
    </row>
    <row r="2654" spans="1:3" ht="16.2" x14ac:dyDescent="0.35">
      <c r="A2654" s="20">
        <v>44539</v>
      </c>
      <c r="B2654" s="21">
        <v>3.1</v>
      </c>
      <c r="C2654" s="238">
        <f t="shared" si="53"/>
        <v>44531</v>
      </c>
    </row>
    <row r="2655" spans="1:3" ht="16.2" x14ac:dyDescent="0.35">
      <c r="A2655" s="20">
        <v>44546</v>
      </c>
      <c r="B2655" s="21">
        <v>3.12</v>
      </c>
      <c r="C2655" s="238">
        <f t="shared" si="53"/>
        <v>44531</v>
      </c>
    </row>
    <row r="2656" spans="1:3" ht="16.2" x14ac:dyDescent="0.35">
      <c r="A2656" s="20">
        <v>44553</v>
      </c>
      <c r="B2656" s="21">
        <v>3.05</v>
      </c>
      <c r="C2656" s="238">
        <f t="shared" si="53"/>
        <v>44531</v>
      </c>
    </row>
    <row r="2657" spans="1:3" ht="16.2" x14ac:dyDescent="0.35">
      <c r="A2657" s="20">
        <v>44560</v>
      </c>
      <c r="B2657" s="21">
        <v>3.11</v>
      </c>
      <c r="C2657" s="238">
        <f t="shared" si="53"/>
        <v>44531</v>
      </c>
    </row>
    <row r="2658" spans="1:3" ht="16.2" x14ac:dyDescent="0.35">
      <c r="A2658" s="20">
        <v>44567</v>
      </c>
      <c r="B2658" s="21">
        <v>3.22</v>
      </c>
      <c r="C2658" s="238">
        <f t="shared" si="53"/>
        <v>44562</v>
      </c>
    </row>
    <row r="2659" spans="1:3" ht="16.2" x14ac:dyDescent="0.35">
      <c r="A2659" s="20">
        <v>44574</v>
      </c>
      <c r="B2659" s="21">
        <v>3.45</v>
      </c>
      <c r="C2659" s="238">
        <f t="shared" si="53"/>
        <v>44562</v>
      </c>
    </row>
    <row r="2660" spans="1:3" ht="16.2" x14ac:dyDescent="0.35">
      <c r="A2660" s="20">
        <v>44581</v>
      </c>
      <c r="B2660" s="21">
        <v>3.56</v>
      </c>
      <c r="C2660" s="238">
        <f t="shared" si="53"/>
        <v>44562</v>
      </c>
    </row>
    <row r="2661" spans="1:3" ht="16.2" x14ac:dyDescent="0.35">
      <c r="A2661" s="20">
        <v>44588</v>
      </c>
      <c r="B2661" s="21">
        <v>3.55</v>
      </c>
      <c r="C2661" s="238">
        <f t="shared" si="53"/>
        <v>44562</v>
      </c>
    </row>
    <row r="2662" spans="1:3" ht="16.2" x14ac:dyDescent="0.35">
      <c r="A2662" s="20">
        <v>44595</v>
      </c>
      <c r="B2662" s="21">
        <v>3.55</v>
      </c>
      <c r="C2662" s="238">
        <f t="shared" si="53"/>
        <v>44593</v>
      </c>
    </row>
    <row r="2663" spans="1:3" ht="16.2" x14ac:dyDescent="0.35">
      <c r="A2663" s="20">
        <v>44602</v>
      </c>
      <c r="B2663" s="21">
        <v>3.69</v>
      </c>
      <c r="C2663" s="238">
        <f t="shared" si="53"/>
        <v>44593</v>
      </c>
    </row>
    <row r="2664" spans="1:3" ht="16.2" x14ac:dyDescent="0.35">
      <c r="A2664" s="20">
        <v>44609</v>
      </c>
      <c r="B2664" s="21">
        <v>3.92</v>
      </c>
      <c r="C2664" s="238">
        <f t="shared" si="53"/>
        <v>44593</v>
      </c>
    </row>
    <row r="2665" spans="1:3" ht="16.2" x14ac:dyDescent="0.35">
      <c r="A2665" s="20">
        <v>44616</v>
      </c>
      <c r="B2665" s="21">
        <v>3.89</v>
      </c>
      <c r="C2665" s="238">
        <f t="shared" si="53"/>
        <v>44593</v>
      </c>
    </row>
    <row r="2666" spans="1:3" ht="16.2" x14ac:dyDescent="0.35">
      <c r="A2666" s="20">
        <v>44623</v>
      </c>
      <c r="B2666" s="21">
        <v>3.76</v>
      </c>
      <c r="C2666" s="238">
        <f t="shared" si="53"/>
        <v>44621</v>
      </c>
    </row>
    <row r="2667" spans="1:3" ht="16.2" x14ac:dyDescent="0.35">
      <c r="A2667" s="20">
        <v>44630</v>
      </c>
      <c r="B2667" s="21">
        <v>3.85</v>
      </c>
      <c r="C2667" s="238">
        <f t="shared" si="53"/>
        <v>44621</v>
      </c>
    </row>
    <row r="2668" spans="1:3" ht="16.2" x14ac:dyDescent="0.35">
      <c r="A2668" s="20">
        <v>44637</v>
      </c>
      <c r="B2668" s="21">
        <v>4.16</v>
      </c>
      <c r="C2668" s="238">
        <f t="shared" si="53"/>
        <v>44621</v>
      </c>
    </row>
    <row r="2669" spans="1:3" ht="16.2" x14ac:dyDescent="0.35">
      <c r="A2669" s="20">
        <v>44644</v>
      </c>
      <c r="B2669" s="21">
        <v>4.42</v>
      </c>
      <c r="C2669" s="238">
        <f t="shared" si="53"/>
        <v>44621</v>
      </c>
    </row>
    <row r="2670" spans="1:3" ht="16.2" x14ac:dyDescent="0.35">
      <c r="A2670" s="20">
        <v>44651</v>
      </c>
      <c r="B2670" s="21">
        <v>4.67</v>
      </c>
      <c r="C2670" s="238">
        <f t="shared" si="53"/>
        <v>44621</v>
      </c>
    </row>
    <row r="2671" spans="1:3" ht="16.2" x14ac:dyDescent="0.35">
      <c r="A2671" s="20">
        <v>44658</v>
      </c>
      <c r="B2671" s="21">
        <v>4.72</v>
      </c>
      <c r="C2671" s="238">
        <f t="shared" si="53"/>
        <v>44652</v>
      </c>
    </row>
    <row r="2672" spans="1:3" ht="16.2" x14ac:dyDescent="0.35">
      <c r="A2672" s="20">
        <v>44665</v>
      </c>
      <c r="B2672" s="21">
        <v>5</v>
      </c>
      <c r="C2672" s="238">
        <f t="shared" si="53"/>
        <v>44652</v>
      </c>
    </row>
    <row r="2673" spans="1:3" ht="16.2" x14ac:dyDescent="0.35">
      <c r="A2673" s="20">
        <v>44672</v>
      </c>
      <c r="B2673" s="21">
        <v>5.1100000000000003</v>
      </c>
      <c r="C2673" s="238">
        <f t="shared" si="53"/>
        <v>44652</v>
      </c>
    </row>
    <row r="2674" spans="1:3" ht="16.2" x14ac:dyDescent="0.35">
      <c r="A2674" s="20">
        <v>44679</v>
      </c>
      <c r="B2674" s="21">
        <v>5.0999999999999996</v>
      </c>
      <c r="C2674" s="238">
        <f t="shared" si="53"/>
        <v>44652</v>
      </c>
    </row>
    <row r="2675" spans="1:3" ht="16.2" x14ac:dyDescent="0.35">
      <c r="A2675" s="20">
        <v>44686</v>
      </c>
      <c r="B2675" s="21">
        <v>5.27</v>
      </c>
      <c r="C2675" s="238">
        <f t="shared" si="53"/>
        <v>44682</v>
      </c>
    </row>
    <row r="2676" spans="1:3" ht="16.2" x14ac:dyDescent="0.35">
      <c r="A2676" s="20">
        <v>44693</v>
      </c>
      <c r="B2676" s="21">
        <v>5.3</v>
      </c>
      <c r="C2676" s="238">
        <f t="shared" si="53"/>
        <v>44682</v>
      </c>
    </row>
    <row r="2677" spans="1:3" ht="16.2" x14ac:dyDescent="0.35">
      <c r="A2677" s="20">
        <v>44700</v>
      </c>
      <c r="B2677" s="21">
        <v>5.25</v>
      </c>
      <c r="C2677" s="238">
        <f t="shared" si="53"/>
        <v>44682</v>
      </c>
    </row>
    <row r="2678" spans="1:3" ht="16.2" x14ac:dyDescent="0.35">
      <c r="A2678" s="20">
        <v>44707</v>
      </c>
      <c r="B2678" s="21">
        <v>5.0999999999999996</v>
      </c>
      <c r="C2678" s="238">
        <f t="shared" si="53"/>
        <v>44682</v>
      </c>
    </row>
    <row r="2679" spans="1:3" ht="16.2" x14ac:dyDescent="0.35">
      <c r="A2679" s="20">
        <v>44714</v>
      </c>
      <c r="B2679" s="21">
        <v>5.09</v>
      </c>
      <c r="C2679" s="238">
        <f t="shared" si="53"/>
        <v>44713</v>
      </c>
    </row>
    <row r="2680" spans="1:3" ht="16.2" x14ac:dyDescent="0.35">
      <c r="A2680" s="20">
        <v>44721</v>
      </c>
      <c r="B2680" s="21">
        <v>5.23</v>
      </c>
      <c r="C2680" s="238">
        <f t="shared" si="53"/>
        <v>44713</v>
      </c>
    </row>
    <row r="2681" spans="1:3" ht="16.2" x14ac:dyDescent="0.35">
      <c r="A2681" s="20">
        <v>44728</v>
      </c>
      <c r="B2681" s="21">
        <v>5.78</v>
      </c>
      <c r="C2681" s="238">
        <f t="shared" si="53"/>
        <v>44713</v>
      </c>
    </row>
    <row r="2682" spans="1:3" ht="16.2" x14ac:dyDescent="0.35">
      <c r="A2682" s="20">
        <v>44735</v>
      </c>
      <c r="B2682" s="21">
        <v>5.81</v>
      </c>
      <c r="C2682" s="238">
        <f t="shared" si="53"/>
        <v>44713</v>
      </c>
    </row>
    <row r="2683" spans="1:3" ht="16.2" x14ac:dyDescent="0.35">
      <c r="A2683" s="20">
        <v>44742</v>
      </c>
      <c r="B2683" s="21">
        <v>5.7</v>
      </c>
      <c r="C2683" s="238">
        <f t="shared" si="53"/>
        <v>44713</v>
      </c>
    </row>
    <row r="2684" spans="1:3" ht="16.2" x14ac:dyDescent="0.35">
      <c r="A2684" s="20">
        <v>44749</v>
      </c>
      <c r="B2684" s="21">
        <v>5.3</v>
      </c>
      <c r="C2684" s="238">
        <f t="shared" si="53"/>
        <v>44743</v>
      </c>
    </row>
    <row r="2685" spans="1:3" ht="16.2" x14ac:dyDescent="0.35">
      <c r="A2685" s="20">
        <v>44756</v>
      </c>
      <c r="B2685" s="21">
        <v>5.51</v>
      </c>
      <c r="C2685" s="238">
        <f t="shared" si="53"/>
        <v>44743</v>
      </c>
    </row>
    <row r="2686" spans="1:3" ht="16.2" x14ac:dyDescent="0.35">
      <c r="A2686" s="20">
        <v>44763</v>
      </c>
      <c r="B2686" s="21">
        <v>5.54</v>
      </c>
      <c r="C2686" s="238">
        <f t="shared" si="53"/>
        <v>44743</v>
      </c>
    </row>
    <row r="2687" spans="1:3" ht="16.2" x14ac:dyDescent="0.35">
      <c r="A2687" s="20">
        <v>44770</v>
      </c>
      <c r="B2687" s="21">
        <v>5.3</v>
      </c>
      <c r="C2687" s="238">
        <f t="shared" si="53"/>
        <v>44743</v>
      </c>
    </row>
    <row r="2688" spans="1:3" ht="16.2" x14ac:dyDescent="0.35">
      <c r="A2688" s="20">
        <v>44777</v>
      </c>
      <c r="B2688" s="21">
        <v>4.99</v>
      </c>
      <c r="C2688" s="238">
        <f t="shared" si="53"/>
        <v>44774</v>
      </c>
    </row>
    <row r="2689" spans="1:3" ht="16.2" x14ac:dyDescent="0.35">
      <c r="A2689" s="20">
        <v>44784</v>
      </c>
      <c r="B2689" s="21">
        <v>5.22</v>
      </c>
      <c r="C2689" s="238">
        <f t="shared" si="53"/>
        <v>44774</v>
      </c>
    </row>
    <row r="2690" spans="1:3" ht="16.2" x14ac:dyDescent="0.35">
      <c r="A2690" s="20">
        <v>44791</v>
      </c>
      <c r="B2690" s="21">
        <v>5.13</v>
      </c>
      <c r="C2690" s="238">
        <f t="shared" si="53"/>
        <v>44774</v>
      </c>
    </row>
    <row r="2691" spans="1:3" ht="16.2" x14ac:dyDescent="0.35">
      <c r="A2691" s="20">
        <v>44798</v>
      </c>
      <c r="B2691" s="21">
        <v>5.55</v>
      </c>
      <c r="C2691" s="238">
        <f t="shared" si="53"/>
        <v>44774</v>
      </c>
    </row>
    <row r="2692" spans="1:3" ht="16.2" x14ac:dyDescent="0.35">
      <c r="A2692" s="20">
        <v>44805</v>
      </c>
      <c r="B2692" s="21">
        <v>5.66</v>
      </c>
      <c r="C2692" s="238">
        <f t="shared" si="53"/>
        <v>44805</v>
      </c>
    </row>
    <row r="2693" spans="1:3" ht="16.2" x14ac:dyDescent="0.35">
      <c r="A2693" s="20">
        <v>44812</v>
      </c>
      <c r="B2693" s="21">
        <v>5.89</v>
      </c>
      <c r="C2693" s="238">
        <f t="shared" si="53"/>
        <v>44805</v>
      </c>
    </row>
    <row r="2694" spans="1:3" ht="16.2" x14ac:dyDescent="0.35">
      <c r="A2694" s="20">
        <v>44819</v>
      </c>
      <c r="B2694" s="21">
        <v>6.02</v>
      </c>
      <c r="C2694" s="238">
        <f t="shared" si="53"/>
        <v>44805</v>
      </c>
    </row>
    <row r="2695" spans="1:3" ht="16.2" x14ac:dyDescent="0.35">
      <c r="A2695" s="20">
        <v>44826</v>
      </c>
      <c r="B2695" s="21">
        <v>6.29</v>
      </c>
      <c r="C2695" s="238">
        <f t="shared" si="53"/>
        <v>44805</v>
      </c>
    </row>
    <row r="2696" spans="1:3" ht="16.2" x14ac:dyDescent="0.35">
      <c r="A2696" s="20">
        <v>44833</v>
      </c>
      <c r="B2696" s="21">
        <v>6.7</v>
      </c>
      <c r="C2696" s="238">
        <f t="shared" si="53"/>
        <v>44805</v>
      </c>
    </row>
    <row r="2697" spans="1:3" ht="16.2" x14ac:dyDescent="0.35">
      <c r="A2697" s="20">
        <v>44840</v>
      </c>
      <c r="B2697" s="21">
        <v>6.66</v>
      </c>
      <c r="C2697" s="238">
        <f t="shared" si="53"/>
        <v>44835</v>
      </c>
    </row>
    <row r="2698" spans="1:3" ht="16.2" x14ac:dyDescent="0.35">
      <c r="A2698" s="20">
        <v>44847</v>
      </c>
      <c r="B2698" s="21">
        <v>6.92</v>
      </c>
      <c r="C2698" s="238">
        <f t="shared" si="53"/>
        <v>44835</v>
      </c>
    </row>
    <row r="2699" spans="1:3" ht="16.2" x14ac:dyDescent="0.35">
      <c r="A2699" s="23">
        <v>44854</v>
      </c>
      <c r="B2699" s="21">
        <v>6.94</v>
      </c>
      <c r="C2699" s="238">
        <f t="shared" si="53"/>
        <v>44835</v>
      </c>
    </row>
    <row r="2700" spans="1:3" ht="16.2" x14ac:dyDescent="0.35">
      <c r="A2700" s="23">
        <v>44861</v>
      </c>
      <c r="B2700" s="21">
        <v>7.08</v>
      </c>
      <c r="C2700" s="238">
        <f t="shared" si="53"/>
        <v>44835</v>
      </c>
    </row>
    <row r="2701" spans="1:3" ht="16.2" x14ac:dyDescent="0.35">
      <c r="A2701" s="23">
        <v>44868</v>
      </c>
      <c r="B2701" s="21">
        <v>6.95</v>
      </c>
      <c r="C2701" s="238">
        <f t="shared" si="53"/>
        <v>44866</v>
      </c>
    </row>
    <row r="2702" spans="1:3" ht="16.2" x14ac:dyDescent="0.35">
      <c r="A2702" s="23">
        <v>44875</v>
      </c>
      <c r="B2702" s="21">
        <v>7.08</v>
      </c>
      <c r="C2702" s="238">
        <f t="shared" si="53"/>
        <v>44866</v>
      </c>
    </row>
    <row r="2703" spans="1:3" ht="16.2" x14ac:dyDescent="0.35">
      <c r="A2703" s="26">
        <v>44882</v>
      </c>
      <c r="B2703" s="25">
        <v>6.61</v>
      </c>
      <c r="C2703" s="238">
        <f t="shared" si="53"/>
        <v>44866</v>
      </c>
    </row>
    <row r="2704" spans="1:3" ht="16.2" x14ac:dyDescent="0.35">
      <c r="A2704" s="28">
        <v>44888</v>
      </c>
      <c r="B2704" s="27">
        <v>6.58</v>
      </c>
      <c r="C2704" s="238">
        <f t="shared" ref="C2704:C2767" si="54">EOMONTH(A2704,-1)+1</f>
        <v>44866</v>
      </c>
    </row>
    <row r="2705" spans="1:3" ht="16.2" x14ac:dyDescent="0.35">
      <c r="A2705" s="30">
        <v>44896</v>
      </c>
      <c r="B2705" s="29">
        <v>6.49</v>
      </c>
      <c r="C2705" s="238">
        <f t="shared" si="54"/>
        <v>44896</v>
      </c>
    </row>
    <row r="2706" spans="1:3" ht="16.2" x14ac:dyDescent="0.35">
      <c r="A2706" s="32">
        <v>44903</v>
      </c>
      <c r="B2706" s="31">
        <v>6.33</v>
      </c>
      <c r="C2706" s="238">
        <f t="shared" si="54"/>
        <v>44896</v>
      </c>
    </row>
    <row r="2707" spans="1:3" ht="16.2" x14ac:dyDescent="0.35">
      <c r="A2707" s="34">
        <v>44910</v>
      </c>
      <c r="B2707" s="33">
        <v>6.31</v>
      </c>
      <c r="C2707" s="238">
        <f t="shared" si="54"/>
        <v>44896</v>
      </c>
    </row>
    <row r="2708" spans="1:3" ht="16.2" x14ac:dyDescent="0.35">
      <c r="A2708" s="36">
        <v>44917</v>
      </c>
      <c r="B2708" s="35">
        <v>6.27</v>
      </c>
      <c r="C2708" s="238">
        <f t="shared" si="54"/>
        <v>44896</v>
      </c>
    </row>
    <row r="2709" spans="1:3" ht="16.2" x14ac:dyDescent="0.35">
      <c r="A2709" s="38">
        <v>44924</v>
      </c>
      <c r="B2709" s="37">
        <v>6.42</v>
      </c>
      <c r="C2709" s="238">
        <f t="shared" si="54"/>
        <v>44896</v>
      </c>
    </row>
    <row r="2710" spans="1:3" ht="16.2" x14ac:dyDescent="0.35">
      <c r="A2710" s="40">
        <v>44931</v>
      </c>
      <c r="B2710" s="39">
        <v>6.48</v>
      </c>
      <c r="C2710" s="238">
        <f t="shared" si="54"/>
        <v>44927</v>
      </c>
    </row>
    <row r="2711" spans="1:3" ht="16.2" x14ac:dyDescent="0.35">
      <c r="A2711" s="42">
        <v>44938</v>
      </c>
      <c r="B2711" s="41">
        <v>6.33</v>
      </c>
      <c r="C2711" s="238">
        <f t="shared" si="54"/>
        <v>44927</v>
      </c>
    </row>
    <row r="2712" spans="1:3" ht="16.2" x14ac:dyDescent="0.35">
      <c r="A2712" s="44">
        <v>44945</v>
      </c>
      <c r="B2712" s="43">
        <v>6.15</v>
      </c>
      <c r="C2712" s="238">
        <f t="shared" si="54"/>
        <v>44927</v>
      </c>
    </row>
    <row r="2713" spans="1:3" ht="16.2" x14ac:dyDescent="0.35">
      <c r="A2713" s="46">
        <v>44952</v>
      </c>
      <c r="B2713" s="45">
        <v>6.13</v>
      </c>
      <c r="C2713" s="238">
        <f t="shared" si="54"/>
        <v>44927</v>
      </c>
    </row>
    <row r="2714" spans="1:3" ht="16.2" x14ac:dyDescent="0.35">
      <c r="A2714" s="48">
        <v>44959</v>
      </c>
      <c r="B2714" s="47">
        <v>6.09</v>
      </c>
      <c r="C2714" s="238">
        <f t="shared" si="54"/>
        <v>44958</v>
      </c>
    </row>
    <row r="2715" spans="1:3" ht="16.2" x14ac:dyDescent="0.35">
      <c r="A2715" s="50">
        <v>44966</v>
      </c>
      <c r="B2715" s="49">
        <v>6.12</v>
      </c>
      <c r="C2715" s="238">
        <f t="shared" si="54"/>
        <v>44958</v>
      </c>
    </row>
    <row r="2716" spans="1:3" ht="16.2" x14ac:dyDescent="0.35">
      <c r="A2716" s="52">
        <v>44973</v>
      </c>
      <c r="B2716" s="51">
        <v>6.32</v>
      </c>
      <c r="C2716" s="238">
        <f t="shared" si="54"/>
        <v>44958</v>
      </c>
    </row>
    <row r="2717" spans="1:3" ht="16.2" x14ac:dyDescent="0.35">
      <c r="A2717" s="54">
        <v>44980</v>
      </c>
      <c r="B2717" s="53">
        <v>6.5</v>
      </c>
      <c r="C2717" s="238">
        <f t="shared" si="54"/>
        <v>44958</v>
      </c>
    </row>
    <row r="2718" spans="1:3" ht="16.2" x14ac:dyDescent="0.35">
      <c r="A2718" s="56">
        <v>44987</v>
      </c>
      <c r="B2718" s="55">
        <v>6.65</v>
      </c>
      <c r="C2718" s="238">
        <f t="shared" si="54"/>
        <v>44986</v>
      </c>
    </row>
    <row r="2719" spans="1:3" ht="16.2" x14ac:dyDescent="0.35">
      <c r="A2719" s="58">
        <v>44994</v>
      </c>
      <c r="B2719" s="57">
        <v>6.73</v>
      </c>
      <c r="C2719" s="238">
        <f t="shared" si="54"/>
        <v>44986</v>
      </c>
    </row>
    <row r="2720" spans="1:3" ht="16.2" x14ac:dyDescent="0.35">
      <c r="A2720" s="60">
        <v>45001</v>
      </c>
      <c r="B2720" s="59">
        <v>6.6</v>
      </c>
      <c r="C2720" s="238">
        <f t="shared" si="54"/>
        <v>44986</v>
      </c>
    </row>
    <row r="2721" spans="1:3" ht="16.2" x14ac:dyDescent="0.35">
      <c r="A2721" s="62">
        <v>45008</v>
      </c>
      <c r="B2721" s="61">
        <v>6.42</v>
      </c>
      <c r="C2721" s="238">
        <f t="shared" si="54"/>
        <v>44986</v>
      </c>
    </row>
    <row r="2722" spans="1:3" ht="16.2" x14ac:dyDescent="0.35">
      <c r="A2722" s="64">
        <v>45015</v>
      </c>
      <c r="B2722" s="63">
        <v>6.32</v>
      </c>
      <c r="C2722" s="238">
        <f t="shared" si="54"/>
        <v>44986</v>
      </c>
    </row>
    <row r="2723" spans="1:3" ht="16.2" x14ac:dyDescent="0.35">
      <c r="A2723" s="66">
        <v>45022</v>
      </c>
      <c r="B2723" s="65">
        <v>6.28</v>
      </c>
      <c r="C2723" s="238">
        <f t="shared" si="54"/>
        <v>45017</v>
      </c>
    </row>
    <row r="2724" spans="1:3" ht="16.2" x14ac:dyDescent="0.35">
      <c r="A2724" s="68">
        <v>45029</v>
      </c>
      <c r="B2724" s="67">
        <v>6.27</v>
      </c>
      <c r="C2724" s="238">
        <f t="shared" si="54"/>
        <v>45017</v>
      </c>
    </row>
    <row r="2725" spans="1:3" ht="16.2" x14ac:dyDescent="0.35">
      <c r="A2725" s="70">
        <v>45036</v>
      </c>
      <c r="B2725" s="69">
        <v>6.39</v>
      </c>
      <c r="C2725" s="238">
        <f t="shared" si="54"/>
        <v>45017</v>
      </c>
    </row>
    <row r="2726" spans="1:3" ht="16.2" x14ac:dyDescent="0.35">
      <c r="A2726" s="72">
        <v>45043</v>
      </c>
      <c r="B2726" s="71">
        <v>6.43</v>
      </c>
      <c r="C2726" s="238">
        <f t="shared" si="54"/>
        <v>45017</v>
      </c>
    </row>
    <row r="2727" spans="1:3" ht="16.2" x14ac:dyDescent="0.35">
      <c r="A2727" s="74">
        <v>45050</v>
      </c>
      <c r="B2727" s="73">
        <v>6.39</v>
      </c>
      <c r="C2727" s="238">
        <f t="shared" si="54"/>
        <v>45047</v>
      </c>
    </row>
    <row r="2728" spans="1:3" ht="16.2" x14ac:dyDescent="0.35">
      <c r="A2728" s="76">
        <v>45057</v>
      </c>
      <c r="B2728" s="75">
        <v>6.35</v>
      </c>
      <c r="C2728" s="238">
        <f t="shared" si="54"/>
        <v>45047</v>
      </c>
    </row>
    <row r="2729" spans="1:3" ht="16.2" x14ac:dyDescent="0.35">
      <c r="A2729" s="78">
        <v>45064</v>
      </c>
      <c r="B2729" s="77">
        <v>6.39</v>
      </c>
      <c r="C2729" s="238">
        <f t="shared" si="54"/>
        <v>45047</v>
      </c>
    </row>
    <row r="2730" spans="1:3" ht="16.2" x14ac:dyDescent="0.35">
      <c r="A2730" s="80">
        <v>45071</v>
      </c>
      <c r="B2730" s="79">
        <v>6.57</v>
      </c>
      <c r="C2730" s="238">
        <f t="shared" si="54"/>
        <v>45047</v>
      </c>
    </row>
    <row r="2731" spans="1:3" ht="16.2" x14ac:dyDescent="0.35">
      <c r="A2731" s="82">
        <v>45078</v>
      </c>
      <c r="B2731" s="81">
        <v>6.79</v>
      </c>
      <c r="C2731" s="238">
        <f t="shared" si="54"/>
        <v>45078</v>
      </c>
    </row>
    <row r="2732" spans="1:3" ht="16.2" x14ac:dyDescent="0.35">
      <c r="A2732" s="84">
        <v>45085</v>
      </c>
      <c r="B2732" s="83">
        <v>6.71</v>
      </c>
      <c r="C2732" s="238">
        <f t="shared" si="54"/>
        <v>45078</v>
      </c>
    </row>
    <row r="2733" spans="1:3" ht="16.2" x14ac:dyDescent="0.35">
      <c r="A2733" s="86">
        <v>45092</v>
      </c>
      <c r="B2733" s="85">
        <v>6.69</v>
      </c>
      <c r="C2733" s="238">
        <f t="shared" si="54"/>
        <v>45078</v>
      </c>
    </row>
    <row r="2734" spans="1:3" ht="16.2" x14ac:dyDescent="0.35">
      <c r="A2734" s="88">
        <v>45099</v>
      </c>
      <c r="B2734" s="87">
        <v>6.67</v>
      </c>
      <c r="C2734" s="238">
        <f t="shared" si="54"/>
        <v>45078</v>
      </c>
    </row>
    <row r="2735" spans="1:3" ht="16.2" x14ac:dyDescent="0.35">
      <c r="A2735" s="90">
        <v>45106</v>
      </c>
      <c r="B2735" s="89">
        <v>6.71</v>
      </c>
      <c r="C2735" s="238">
        <f t="shared" si="54"/>
        <v>45078</v>
      </c>
    </row>
    <row r="2736" spans="1:3" ht="16.2" x14ac:dyDescent="0.35">
      <c r="A2736" s="92">
        <v>45113</v>
      </c>
      <c r="B2736" s="91">
        <v>6.81</v>
      </c>
      <c r="C2736" s="238">
        <f t="shared" si="54"/>
        <v>45108</v>
      </c>
    </row>
    <row r="2737" spans="1:3" ht="16.2" x14ac:dyDescent="0.35">
      <c r="A2737" s="94">
        <v>45120</v>
      </c>
      <c r="B2737" s="93">
        <v>6.96</v>
      </c>
      <c r="C2737" s="238">
        <f t="shared" si="54"/>
        <v>45108</v>
      </c>
    </row>
    <row r="2738" spans="1:3" ht="16.2" x14ac:dyDescent="0.35">
      <c r="A2738" s="96">
        <v>45127</v>
      </c>
      <c r="B2738" s="95">
        <v>6.78</v>
      </c>
      <c r="C2738" s="238">
        <f t="shared" si="54"/>
        <v>45108</v>
      </c>
    </row>
    <row r="2739" spans="1:3" ht="16.2" x14ac:dyDescent="0.35">
      <c r="A2739" s="98">
        <v>45134</v>
      </c>
      <c r="B2739" s="97">
        <v>6.81</v>
      </c>
      <c r="C2739" s="238">
        <f t="shared" si="54"/>
        <v>45108</v>
      </c>
    </row>
    <row r="2740" spans="1:3" ht="16.2" x14ac:dyDescent="0.35">
      <c r="A2740" s="100">
        <v>45141</v>
      </c>
      <c r="B2740" s="99">
        <v>6.9</v>
      </c>
      <c r="C2740" s="238">
        <f t="shared" si="54"/>
        <v>45139</v>
      </c>
    </row>
    <row r="2741" spans="1:3" ht="16.2" x14ac:dyDescent="0.35">
      <c r="A2741" s="102">
        <v>45148</v>
      </c>
      <c r="B2741" s="101">
        <v>6.96</v>
      </c>
      <c r="C2741" s="238">
        <f t="shared" si="54"/>
        <v>45139</v>
      </c>
    </row>
    <row r="2742" spans="1:3" ht="16.2" x14ac:dyDescent="0.35">
      <c r="A2742" s="104">
        <v>45155</v>
      </c>
      <c r="B2742" s="103">
        <v>7.09</v>
      </c>
      <c r="C2742" s="238">
        <f t="shared" si="54"/>
        <v>45139</v>
      </c>
    </row>
    <row r="2743" spans="1:3" ht="16.2" x14ac:dyDescent="0.35">
      <c r="A2743" s="106">
        <v>45162</v>
      </c>
      <c r="B2743" s="105">
        <v>7.23</v>
      </c>
      <c r="C2743" s="238">
        <f t="shared" si="54"/>
        <v>45139</v>
      </c>
    </row>
    <row r="2744" spans="1:3" ht="16.2" x14ac:dyDescent="0.35">
      <c r="A2744" s="108">
        <v>45169</v>
      </c>
      <c r="B2744" s="107">
        <v>7.18</v>
      </c>
      <c r="C2744" s="238">
        <f t="shared" si="54"/>
        <v>45139</v>
      </c>
    </row>
    <row r="2745" spans="1:3" ht="16.2" x14ac:dyDescent="0.35">
      <c r="A2745" s="110">
        <v>45176</v>
      </c>
      <c r="B2745" s="109">
        <v>7.12</v>
      </c>
      <c r="C2745" s="238">
        <f t="shared" si="54"/>
        <v>45170</v>
      </c>
    </row>
    <row r="2746" spans="1:3" ht="16.2" x14ac:dyDescent="0.35">
      <c r="A2746" s="112">
        <v>45183</v>
      </c>
      <c r="B2746" s="111">
        <v>7.18</v>
      </c>
      <c r="C2746" s="238">
        <f t="shared" si="54"/>
        <v>45170</v>
      </c>
    </row>
    <row r="2747" spans="1:3" ht="16.2" x14ac:dyDescent="0.35">
      <c r="A2747" s="114">
        <v>45190</v>
      </c>
      <c r="B2747" s="113">
        <v>7.19</v>
      </c>
      <c r="C2747" s="238">
        <f t="shared" si="54"/>
        <v>45170</v>
      </c>
    </row>
    <row r="2748" spans="1:3" ht="16.2" x14ac:dyDescent="0.35">
      <c r="A2748" s="116">
        <v>45197</v>
      </c>
      <c r="B2748" s="115">
        <v>7.31</v>
      </c>
      <c r="C2748" s="238">
        <f t="shared" si="54"/>
        <v>45170</v>
      </c>
    </row>
    <row r="2749" spans="1:3" ht="16.2" x14ac:dyDescent="0.35">
      <c r="A2749" s="118">
        <v>45204</v>
      </c>
      <c r="B2749" s="117">
        <v>7.49</v>
      </c>
      <c r="C2749" s="238">
        <f t="shared" si="54"/>
        <v>45200</v>
      </c>
    </row>
    <row r="2750" spans="1:3" ht="16.2" x14ac:dyDescent="0.35">
      <c r="A2750" s="120">
        <v>45211</v>
      </c>
      <c r="B2750" s="119">
        <v>7.57</v>
      </c>
      <c r="C2750" s="238">
        <f t="shared" si="54"/>
        <v>45200</v>
      </c>
    </row>
    <row r="2751" spans="1:3" ht="16.2" x14ac:dyDescent="0.35">
      <c r="A2751" s="122">
        <v>45218</v>
      </c>
      <c r="B2751" s="121">
        <v>7.63</v>
      </c>
      <c r="C2751" s="238">
        <f t="shared" si="54"/>
        <v>45200</v>
      </c>
    </row>
    <row r="2752" spans="1:3" ht="16.2" x14ac:dyDescent="0.35">
      <c r="A2752" s="124">
        <v>45225</v>
      </c>
      <c r="B2752" s="123">
        <v>7.79</v>
      </c>
      <c r="C2752" s="238">
        <f t="shared" si="54"/>
        <v>45200</v>
      </c>
    </row>
    <row r="2753" spans="1:3" ht="16.2" x14ac:dyDescent="0.35">
      <c r="A2753" s="126">
        <v>45232</v>
      </c>
      <c r="B2753" s="125">
        <v>7.76</v>
      </c>
      <c r="C2753" s="238">
        <f t="shared" si="54"/>
        <v>45231</v>
      </c>
    </row>
    <row r="2754" spans="1:3" ht="16.2" x14ac:dyDescent="0.35">
      <c r="A2754" s="128">
        <v>45239</v>
      </c>
      <c r="B2754" s="127">
        <v>7.5</v>
      </c>
      <c r="C2754" s="238">
        <f t="shared" si="54"/>
        <v>45231</v>
      </c>
    </row>
    <row r="2755" spans="1:3" ht="16.2" x14ac:dyDescent="0.35">
      <c r="A2755" s="130">
        <v>45246</v>
      </c>
      <c r="B2755" s="129">
        <v>7.44</v>
      </c>
      <c r="C2755" s="238">
        <f t="shared" si="54"/>
        <v>45231</v>
      </c>
    </row>
    <row r="2756" spans="1:3" ht="16.2" x14ac:dyDescent="0.35">
      <c r="A2756" s="132">
        <v>45252</v>
      </c>
      <c r="B2756" s="131">
        <v>7.29</v>
      </c>
      <c r="C2756" s="238">
        <f t="shared" si="54"/>
        <v>45231</v>
      </c>
    </row>
    <row r="2757" spans="1:3" ht="16.2" x14ac:dyDescent="0.35">
      <c r="A2757" s="134">
        <v>45260</v>
      </c>
      <c r="B2757" s="133">
        <v>7.22</v>
      </c>
      <c r="C2757" s="238">
        <f t="shared" si="54"/>
        <v>45231</v>
      </c>
    </row>
    <row r="2758" spans="1:3" ht="16.2" x14ac:dyDescent="0.35">
      <c r="A2758" s="136">
        <v>45267</v>
      </c>
      <c r="B2758" s="135">
        <v>7.03</v>
      </c>
      <c r="C2758" s="238">
        <f t="shared" si="54"/>
        <v>45261</v>
      </c>
    </row>
    <row r="2759" spans="1:3" ht="16.2" x14ac:dyDescent="0.35">
      <c r="A2759" s="138">
        <v>45274</v>
      </c>
      <c r="B2759" s="137">
        <v>6.95</v>
      </c>
      <c r="C2759" s="238">
        <f t="shared" si="54"/>
        <v>45261</v>
      </c>
    </row>
    <row r="2760" spans="1:3" ht="16.2" x14ac:dyDescent="0.35">
      <c r="A2760" s="140">
        <v>45281</v>
      </c>
      <c r="B2760" s="139">
        <v>6.67</v>
      </c>
      <c r="C2760" s="238">
        <f t="shared" si="54"/>
        <v>45261</v>
      </c>
    </row>
    <row r="2761" spans="1:3" ht="16.2" x14ac:dyDescent="0.35">
      <c r="A2761" s="142">
        <v>45288</v>
      </c>
      <c r="B2761" s="141">
        <v>6.61</v>
      </c>
      <c r="C2761" s="238">
        <f t="shared" si="54"/>
        <v>45261</v>
      </c>
    </row>
    <row r="2762" spans="1:3" ht="16.2" x14ac:dyDescent="0.35">
      <c r="A2762" s="144">
        <v>45295</v>
      </c>
      <c r="B2762" s="143">
        <v>6.62</v>
      </c>
      <c r="C2762" s="238">
        <f t="shared" si="54"/>
        <v>45292</v>
      </c>
    </row>
    <row r="2763" spans="1:3" ht="16.2" x14ac:dyDescent="0.35">
      <c r="A2763" s="146">
        <v>45302</v>
      </c>
      <c r="B2763" s="145">
        <v>6.66</v>
      </c>
      <c r="C2763" s="238">
        <f t="shared" si="54"/>
        <v>45292</v>
      </c>
    </row>
    <row r="2764" spans="1:3" ht="16.2" x14ac:dyDescent="0.35">
      <c r="A2764" s="148">
        <v>45309</v>
      </c>
      <c r="B2764" s="147">
        <v>6.6</v>
      </c>
      <c r="C2764" s="238">
        <f t="shared" si="54"/>
        <v>45292</v>
      </c>
    </row>
    <row r="2765" spans="1:3" ht="16.2" x14ac:dyDescent="0.35">
      <c r="A2765" s="150">
        <v>45316</v>
      </c>
      <c r="B2765" s="149">
        <v>6.69</v>
      </c>
      <c r="C2765" s="238">
        <f t="shared" si="54"/>
        <v>45292</v>
      </c>
    </row>
    <row r="2766" spans="1:3" ht="16.2" x14ac:dyDescent="0.35">
      <c r="A2766" s="152">
        <v>45323</v>
      </c>
      <c r="B2766" s="151">
        <v>6.63</v>
      </c>
      <c r="C2766" s="238">
        <f t="shared" si="54"/>
        <v>45323</v>
      </c>
    </row>
    <row r="2767" spans="1:3" ht="16.2" x14ac:dyDescent="0.35">
      <c r="A2767" s="154">
        <v>45330</v>
      </c>
      <c r="B2767" s="153">
        <v>6.64</v>
      </c>
      <c r="C2767" s="238">
        <f t="shared" si="54"/>
        <v>45323</v>
      </c>
    </row>
    <row r="2768" spans="1:3" ht="16.2" x14ac:dyDescent="0.35">
      <c r="A2768" s="156">
        <v>45337</v>
      </c>
      <c r="B2768" s="155">
        <v>6.77</v>
      </c>
      <c r="C2768" s="238">
        <f t="shared" ref="C2768:C2808" si="55">EOMONTH(A2768,-1)+1</f>
        <v>45323</v>
      </c>
    </row>
    <row r="2769" spans="1:3" ht="16.2" x14ac:dyDescent="0.35">
      <c r="A2769" s="158">
        <v>45344</v>
      </c>
      <c r="B2769" s="157">
        <v>6.9</v>
      </c>
      <c r="C2769" s="238">
        <f t="shared" si="55"/>
        <v>45323</v>
      </c>
    </row>
    <row r="2770" spans="1:3" ht="16.2" x14ac:dyDescent="0.35">
      <c r="A2770" s="160">
        <v>45351</v>
      </c>
      <c r="B2770" s="159">
        <v>6.94</v>
      </c>
      <c r="C2770" s="238">
        <f t="shared" si="55"/>
        <v>45323</v>
      </c>
    </row>
    <row r="2771" spans="1:3" ht="16.2" x14ac:dyDescent="0.35">
      <c r="A2771" s="162">
        <v>45358</v>
      </c>
      <c r="B2771" s="161">
        <v>6.88</v>
      </c>
      <c r="C2771" s="238">
        <f t="shared" si="55"/>
        <v>45352</v>
      </c>
    </row>
    <row r="2772" spans="1:3" ht="16.2" x14ac:dyDescent="0.35">
      <c r="A2772" s="164">
        <v>45365</v>
      </c>
      <c r="B2772" s="163">
        <v>6.74</v>
      </c>
      <c r="C2772" s="238">
        <f t="shared" si="55"/>
        <v>45352</v>
      </c>
    </row>
    <row r="2773" spans="1:3" ht="16.2" x14ac:dyDescent="0.35">
      <c r="A2773" s="166">
        <v>45372</v>
      </c>
      <c r="B2773" s="165">
        <v>6.87</v>
      </c>
      <c r="C2773" s="238">
        <f t="shared" si="55"/>
        <v>45352</v>
      </c>
    </row>
    <row r="2774" spans="1:3" ht="16.2" x14ac:dyDescent="0.35">
      <c r="A2774" s="168">
        <v>45379</v>
      </c>
      <c r="B2774" s="167">
        <v>6.79</v>
      </c>
      <c r="C2774" s="238">
        <f t="shared" si="55"/>
        <v>45352</v>
      </c>
    </row>
    <row r="2775" spans="1:3" ht="16.2" x14ac:dyDescent="0.35">
      <c r="A2775" s="170">
        <v>45386</v>
      </c>
      <c r="B2775" s="169">
        <v>6.82</v>
      </c>
      <c r="C2775" s="238">
        <f t="shared" si="55"/>
        <v>45383</v>
      </c>
    </row>
    <row r="2776" spans="1:3" ht="16.2" x14ac:dyDescent="0.35">
      <c r="A2776" s="172">
        <v>45393</v>
      </c>
      <c r="B2776" s="171">
        <v>6.88</v>
      </c>
      <c r="C2776" s="238">
        <f t="shared" si="55"/>
        <v>45383</v>
      </c>
    </row>
    <row r="2777" spans="1:3" ht="16.2" x14ac:dyDescent="0.35">
      <c r="A2777" s="174">
        <v>45400</v>
      </c>
      <c r="B2777" s="173">
        <v>7.1</v>
      </c>
      <c r="C2777" s="238">
        <f t="shared" si="55"/>
        <v>45383</v>
      </c>
    </row>
    <row r="2778" spans="1:3" ht="16.2" x14ac:dyDescent="0.35">
      <c r="A2778" s="176">
        <v>45407</v>
      </c>
      <c r="B2778" s="175">
        <v>7.17</v>
      </c>
      <c r="C2778" s="238">
        <f t="shared" si="55"/>
        <v>45383</v>
      </c>
    </row>
    <row r="2779" spans="1:3" ht="16.2" x14ac:dyDescent="0.35">
      <c r="A2779" s="178">
        <v>45414</v>
      </c>
      <c r="B2779" s="177">
        <v>7.22</v>
      </c>
      <c r="C2779" s="238">
        <f t="shared" si="55"/>
        <v>45413</v>
      </c>
    </row>
    <row r="2780" spans="1:3" ht="16.2" x14ac:dyDescent="0.35">
      <c r="A2780" s="180">
        <v>45421</v>
      </c>
      <c r="B2780" s="179">
        <v>7.09</v>
      </c>
      <c r="C2780" s="238">
        <f t="shared" si="55"/>
        <v>45413</v>
      </c>
    </row>
    <row r="2781" spans="1:3" ht="16.2" x14ac:dyDescent="0.35">
      <c r="A2781" s="182">
        <v>45428</v>
      </c>
      <c r="B2781" s="181">
        <v>7.02</v>
      </c>
      <c r="C2781" s="238">
        <f t="shared" si="55"/>
        <v>45413</v>
      </c>
    </row>
    <row r="2782" spans="1:3" ht="16.2" x14ac:dyDescent="0.35">
      <c r="A2782" s="184">
        <v>45435</v>
      </c>
      <c r="B2782" s="183">
        <v>6.94</v>
      </c>
      <c r="C2782" s="238">
        <f t="shared" si="55"/>
        <v>45413</v>
      </c>
    </row>
    <row r="2783" spans="1:3" ht="16.2" x14ac:dyDescent="0.35">
      <c r="A2783" s="186">
        <v>45442</v>
      </c>
      <c r="B2783" s="185">
        <v>7.03</v>
      </c>
      <c r="C2783" s="238">
        <f t="shared" si="55"/>
        <v>45413</v>
      </c>
    </row>
    <row r="2784" spans="1:3" ht="16.2" x14ac:dyDescent="0.35">
      <c r="A2784" s="188">
        <v>45449</v>
      </c>
      <c r="B2784" s="187">
        <v>6.99</v>
      </c>
      <c r="C2784" s="238">
        <f t="shared" si="55"/>
        <v>45444</v>
      </c>
    </row>
    <row r="2785" spans="1:3" ht="16.2" x14ac:dyDescent="0.35">
      <c r="A2785" s="190">
        <v>45456</v>
      </c>
      <c r="B2785" s="189">
        <v>6.95</v>
      </c>
      <c r="C2785" s="238">
        <f t="shared" si="55"/>
        <v>45444</v>
      </c>
    </row>
    <row r="2786" spans="1:3" ht="16.2" x14ac:dyDescent="0.35">
      <c r="A2786" s="192">
        <v>45463</v>
      </c>
      <c r="B2786" s="191">
        <v>6.87</v>
      </c>
      <c r="C2786" s="238">
        <f t="shared" si="55"/>
        <v>45444</v>
      </c>
    </row>
    <row r="2787" spans="1:3" ht="16.2" x14ac:dyDescent="0.35">
      <c r="A2787" s="194">
        <v>45470</v>
      </c>
      <c r="B2787" s="193">
        <v>6.86</v>
      </c>
      <c r="C2787" s="238">
        <f t="shared" si="55"/>
        <v>45444</v>
      </c>
    </row>
    <row r="2788" spans="1:3" ht="16.2" x14ac:dyDescent="0.35">
      <c r="A2788" s="196">
        <v>45476</v>
      </c>
      <c r="B2788" s="195">
        <v>6.95</v>
      </c>
      <c r="C2788" s="238">
        <f t="shared" si="55"/>
        <v>45474</v>
      </c>
    </row>
    <row r="2789" spans="1:3" ht="16.2" x14ac:dyDescent="0.35">
      <c r="A2789" s="198">
        <v>45484</v>
      </c>
      <c r="B2789" s="197">
        <v>6.89</v>
      </c>
      <c r="C2789" s="238">
        <f t="shared" si="55"/>
        <v>45474</v>
      </c>
    </row>
    <row r="2790" spans="1:3" ht="16.2" x14ac:dyDescent="0.35">
      <c r="A2790" s="200">
        <v>45491</v>
      </c>
      <c r="B2790" s="199">
        <v>6.77</v>
      </c>
      <c r="C2790" s="238">
        <f t="shared" si="55"/>
        <v>45474</v>
      </c>
    </row>
    <row r="2791" spans="1:3" ht="16.2" x14ac:dyDescent="0.35">
      <c r="A2791" s="202">
        <v>45498</v>
      </c>
      <c r="B2791" s="201">
        <v>6.78</v>
      </c>
      <c r="C2791" s="238">
        <f t="shared" si="55"/>
        <v>45474</v>
      </c>
    </row>
    <row r="2792" spans="1:3" ht="16.2" x14ac:dyDescent="0.35">
      <c r="A2792" s="204">
        <v>45505</v>
      </c>
      <c r="B2792" s="203">
        <v>6.73</v>
      </c>
      <c r="C2792" s="238">
        <f t="shared" si="55"/>
        <v>45505</v>
      </c>
    </row>
    <row r="2793" spans="1:3" ht="16.2" x14ac:dyDescent="0.35">
      <c r="A2793" s="206">
        <v>45512</v>
      </c>
      <c r="B2793" s="205">
        <v>6.47</v>
      </c>
      <c r="C2793" s="238">
        <f t="shared" si="55"/>
        <v>45505</v>
      </c>
    </row>
    <row r="2794" spans="1:3" ht="16.2" x14ac:dyDescent="0.35">
      <c r="A2794" s="208">
        <v>45519</v>
      </c>
      <c r="B2794" s="207">
        <v>6.49</v>
      </c>
      <c r="C2794" s="238">
        <f t="shared" si="55"/>
        <v>45505</v>
      </c>
    </row>
    <row r="2795" spans="1:3" ht="16.2" x14ac:dyDescent="0.35">
      <c r="A2795" s="210">
        <v>45526</v>
      </c>
      <c r="B2795" s="209">
        <v>6.46</v>
      </c>
      <c r="C2795" s="238">
        <f t="shared" si="55"/>
        <v>45505</v>
      </c>
    </row>
    <row r="2796" spans="1:3" ht="16.2" x14ac:dyDescent="0.35">
      <c r="A2796" s="212">
        <v>45533</v>
      </c>
      <c r="B2796" s="211">
        <v>6.35</v>
      </c>
      <c r="C2796" s="238">
        <f t="shared" si="55"/>
        <v>45505</v>
      </c>
    </row>
    <row r="2797" spans="1:3" ht="16.2" x14ac:dyDescent="0.35">
      <c r="A2797" s="214">
        <v>45540</v>
      </c>
      <c r="B2797" s="213">
        <v>6.35</v>
      </c>
      <c r="C2797" s="238">
        <f t="shared" si="55"/>
        <v>45536</v>
      </c>
    </row>
    <row r="2798" spans="1:3" ht="16.2" x14ac:dyDescent="0.35">
      <c r="A2798" s="216">
        <v>45547</v>
      </c>
      <c r="B2798" s="215">
        <v>6.2</v>
      </c>
      <c r="C2798" s="238">
        <f t="shared" si="55"/>
        <v>45536</v>
      </c>
    </row>
    <row r="2799" spans="1:3" ht="16.2" x14ac:dyDescent="0.35">
      <c r="A2799" s="218">
        <v>45554</v>
      </c>
      <c r="B2799" s="217">
        <v>6.09</v>
      </c>
      <c r="C2799" s="238">
        <f t="shared" si="55"/>
        <v>45536</v>
      </c>
    </row>
    <row r="2800" spans="1:3" ht="16.2" x14ac:dyDescent="0.35">
      <c r="A2800" s="220">
        <v>45561</v>
      </c>
      <c r="B2800" s="219">
        <v>6.08</v>
      </c>
      <c r="C2800" s="238">
        <f t="shared" si="55"/>
        <v>45536</v>
      </c>
    </row>
    <row r="2801" spans="1:3" ht="16.2" x14ac:dyDescent="0.35">
      <c r="A2801" s="222">
        <v>45568</v>
      </c>
      <c r="B2801" s="221">
        <v>6.12</v>
      </c>
      <c r="C2801" s="238">
        <f t="shared" si="55"/>
        <v>45566</v>
      </c>
    </row>
    <row r="2802" spans="1:3" ht="16.2" x14ac:dyDescent="0.35">
      <c r="A2802" s="224">
        <v>45575</v>
      </c>
      <c r="B2802" s="223">
        <v>6.32</v>
      </c>
      <c r="C2802" s="238">
        <f t="shared" si="55"/>
        <v>45566</v>
      </c>
    </row>
    <row r="2803" spans="1:3" ht="16.2" x14ac:dyDescent="0.35">
      <c r="A2803" s="226">
        <v>45582</v>
      </c>
      <c r="B2803" s="225">
        <v>6.44</v>
      </c>
      <c r="C2803" s="238">
        <f t="shared" si="55"/>
        <v>45566</v>
      </c>
    </row>
    <row r="2804" spans="1:3" ht="16.2" x14ac:dyDescent="0.35">
      <c r="A2804" s="228">
        <v>45589</v>
      </c>
      <c r="B2804" s="227">
        <v>6.54</v>
      </c>
      <c r="C2804" s="238">
        <f t="shared" si="55"/>
        <v>45566</v>
      </c>
    </row>
    <row r="2805" spans="1:3" ht="16.2" x14ac:dyDescent="0.35">
      <c r="A2805" s="230">
        <v>45596</v>
      </c>
      <c r="B2805" s="229">
        <v>6.72</v>
      </c>
      <c r="C2805" s="238">
        <f t="shared" si="55"/>
        <v>45566</v>
      </c>
    </row>
    <row r="2806" spans="1:3" ht="16.2" x14ac:dyDescent="0.35">
      <c r="A2806" s="232">
        <v>45603</v>
      </c>
      <c r="B2806" s="231">
        <v>6.79</v>
      </c>
      <c r="C2806" s="238">
        <f t="shared" si="55"/>
        <v>45597</v>
      </c>
    </row>
    <row r="2807" spans="1:3" ht="16.2" x14ac:dyDescent="0.35">
      <c r="A2807" s="234">
        <v>45610</v>
      </c>
      <c r="B2807" s="233">
        <v>6.78</v>
      </c>
      <c r="C2807" s="238">
        <f t="shared" si="55"/>
        <v>45597</v>
      </c>
    </row>
    <row r="2808" spans="1:3" ht="16.2" x14ac:dyDescent="0.35">
      <c r="A2808" s="236">
        <v>45617</v>
      </c>
      <c r="B2808" s="235">
        <v>6.84</v>
      </c>
      <c r="C2808" s="238">
        <f t="shared" si="55"/>
        <v>45597</v>
      </c>
    </row>
    <row r="2809" spans="1:3" x14ac:dyDescent="0.3">
      <c r="A2809"/>
    </row>
    <row r="2810" spans="1:3" x14ac:dyDescent="0.3">
      <c r="A2810"/>
    </row>
    <row r="2811" spans="1:3" x14ac:dyDescent="0.3">
      <c r="A2811"/>
    </row>
    <row r="2812" spans="1:3" x14ac:dyDescent="0.3">
      <c r="A2812"/>
    </row>
    <row r="2813" spans="1:3" x14ac:dyDescent="0.3">
      <c r="A2813"/>
    </row>
  </sheetData>
  <phoneticPr fontId="23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Full History</vt:lpstr>
      <vt:lpstr>MortgageRate</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LeeEunchan</cp:lastModifiedBy>
  <cp:lastPrinted>2016-01-06T18:41:59Z</cp:lastPrinted>
  <dcterms:created xsi:type="dcterms:W3CDTF">2002-03-14T15:28:34Z</dcterms:created>
  <dcterms:modified xsi:type="dcterms:W3CDTF">2024-12-03T02:17:01Z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